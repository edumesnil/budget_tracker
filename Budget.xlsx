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udget Courant" sheetId="1" r:id="rId5"/>
    <sheet state="visible" name="Mensuel" sheetId="2" r:id="rId6"/>
    <sheet state="visible" name="Investissements" sheetId="3" r:id="rId7"/>
    <sheet state="visible" name="2025" sheetId="4" r:id="rId8"/>
    <sheet state="visible" name="2024" sheetId="5" r:id="rId9"/>
    <sheet state="hidden" name="Suivi par mois" sheetId="6" r:id="rId10"/>
    <sheet state="visible" name="2023" sheetId="7" r:id="rId11"/>
    <sheet state="visible" name="Gaz" sheetId="8" r:id="rId12"/>
  </sheets>
  <definedNames>
    <definedName hidden="1" localSheetId="5" name="Z_5187B3FB_C43A_47E8_BC7F_A0A1D7F5AA34_.wvu.FilterData">'Suivi par mois'!$B$1:$H$34</definedName>
  </definedNames>
  <calcPr/>
  <customWorkbookViews>
    <customWorkbookView activeSheetId="0" maximized="1" windowHeight="0" windowWidth="0" guid="{5187B3FB-C43A-47E8-BC7F-A0A1D7F5AA34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tc={e727050f-608d-43c0-a435-9eff96c8ee17}</author>
  </authors>
  <commentList>
    <comment authorId="0" xr:uid="{e727050f-608d-43c0-a435-9eff96c8ee17}" ref="G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bar maryse
Reply:
	maillot william
Reply:
	Audible
Reply:
	Dollo 23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tc={153b0181-e4ed-43a3-9a16-becde443e8c0}</author>
    <author>tc={1a3d85a8-2bee-45e1-aceb-d7e547316ece}</author>
    <author>tc={35a6f929-2557-4763-b2b4-9657b6d65fb0}</author>
    <author>tc={39e634c8-5ab6-4768-b63a-420f79cfdd32}</author>
    <author>tc={3d8cd6e1-8d64-4662-afab-02188b51f895}</author>
    <author>tc={5625576c-baed-4afc-811a-7292575371e3}</author>
    <author>tc={6ef4b585-1473-4d8f-a95b-dc8591efb618}</author>
    <author>tc={75db516d-e378-4f1e-8f39-16b8c4f088a9}</author>
    <author>tc={8ed03c18-23d5-491b-aa3c-8215b64b43c1}</author>
    <author>tc={9ffadb17-541e-4238-9a4f-9d618df93502}</author>
    <author>tc={c425a0cc-83a9-477d-8224-029e09ad413d}</author>
    <author>tc={c5579854-6781-4ba7-8f7e-cf882ccf2d53}</author>
    <author>tc={f15ab2cb-74a1-4bd6-95e2-e83a36ee7e16}</author>
    <author>tc={f4b96362-d666-4adf-94dd-1b9eb631083b}</author>
    <author>tc={f6c7fe5a-6939-428e-8d38-2ba9c04c63c1}</author>
  </authors>
  <commentList>
    <comment authorId="0" xr:uid="{153b0181-e4ed-43a3-9a16-becde443e8c0}" ref="E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RDV Urgence Eric
</t>
      </text>
    </comment>
    <comment authorId="1" xr:uid="{1a3d85a8-2bee-45e1-aceb-d7e547316ece}" ref="K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cadeau et achat amazon offset par le compte gaterie
</t>
      </text>
    </comment>
    <comment authorId="2" xr:uid="{35a6f929-2557-4763-b2b4-9657b6d65fb0}" ref="D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Cours Secretariat Maryse
</t>
      </text>
    </comment>
    <comment authorId="3" xr:uid="{39e634c8-5ab6-4768-b63a-420f79cfdd32}" ref="M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@maryse.cyr@gmail.com Verifier si tu la recu en juin svp
Assigned to maryse.cyr@gmail.com
</t>
      </text>
    </comment>
    <comment authorId="4" xr:uid="{3d8cd6e1-8d64-4662-afab-02188b51f895}" ref="H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Court Secretariat Maryse
Reply:
	colle a moi William
</t>
      </text>
    </comment>
    <comment authorId="5" xr:uid="{5625576c-baed-4afc-811a-7292575371e3}" ref="G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Encre Imprimante (2x) + Amazon + Dollo + Amazon + Salon VR
</t>
      </text>
    </comment>
    <comment authorId="6" xr:uid="{6ef4b585-1473-4d8f-a95b-dc8591efb618}" ref="H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changement d'huile + changment pneu Jeep
</t>
      </text>
    </comment>
    <comment authorId="7" xr:uid="{75db516d-e378-4f1e-8f39-16b8c4f088a9}" ref="K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120$ fete des mere....
</t>
      </text>
    </comment>
    <comment authorId="8" xr:uid="{8ed03c18-23d5-491b-aa3c-8215b64b43c1}" ref="G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Traitement Canal Eric + Nettoyage Maryse + Réparation Maryse
</t>
      </text>
    </comment>
    <comment authorId="9" xr:uid="{9ffadb17-541e-4238-9a4f-9d618df93502}" ref="E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Parebrise + Panne Huile Mazda
</t>
      </text>
    </comment>
    <comment authorId="10" xr:uid="{c425a0cc-83a9-477d-8224-029e09ad413d}" ref="I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Nettoyage Rik + Reparation Maryse
</t>
      </text>
    </comment>
    <comment authorId="11" xr:uid="{c5579854-6781-4ba7-8f7e-cf882ccf2d53}" ref="K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jeu gonflable + cadeau fete rik spectacle
</t>
      </text>
    </comment>
    <comment authorId="12" xr:uid="{f15ab2cb-74a1-4bd6-95e2-e83a36ee7e16}" ref="K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Impots
</t>
      </text>
    </comment>
    <comment authorId="13" xr:uid="{f4b96362-d666-4adf-94dd-1b9eb631083b}" ref="G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Camp de jour
</t>
      </text>
    </comment>
    <comment authorId="14" xr:uid="{f6c7fe5a-6939-428e-8d38-2ba9c04c63c1}" ref="F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Cours Secretariat Maryse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tc={03c88abc-4991-4d05-9f8a-7e7f5266932c}</author>
    <author>tc={05b1458a-2e8f-4998-82f4-766f8840e08d}</author>
    <author>tc={14049371-511b-4266-81cf-14cfca80cca8}</author>
    <author>tc={1d9217ef-ce44-4aa9-90e9-f208bf483040}</author>
    <author>tc={2acff2ea-61bc-43cc-918e-58f64ee7c76e}</author>
    <author>tc={2bc43645-4bcc-4649-8c40-090fabb5f7f6}</author>
    <author>tc={2de9dbda-c2ae-4fbf-af03-68c0ddaab27c}</author>
    <author>tc={39fea89b-422a-41a6-864f-a8e9d56ddc21}</author>
    <author>tc={3af068b8-6c2b-4725-a621-3d71f619fe24}</author>
    <author>tc={3f7b5e2c-aa0e-46e2-8ffb-cbc7adc3078c}</author>
    <author>tc={4ff6100e-f94e-4f2b-b7d2-24a03b5f266e}</author>
    <author>tc={5755c541-9814-453e-b0b6-972da6be4ee4}</author>
    <author>tc={58e01e2d-3fa4-4efa-aedf-ca9f5658f5ad}</author>
    <author>tc={5fbae8b8-043a-4105-ae96-49d3927b6b72}</author>
    <author>tc={61429b25-a27c-4d75-8e00-f3c9cb482605}</author>
    <author>tc={79b802db-1a44-4216-ac24-b4f78f690dc1}</author>
    <author>tc={84b37d2a-8b2c-4130-bfb1-c98da41a739a}</author>
    <author>tc={859715ce-1d75-4ca8-9898-f53fbb752072}</author>
    <author>tc={940d9ec9-929f-45e4-8822-ff1014d133f6}</author>
    <author>tc={97180f52-72fc-4fc3-8cc4-7537fee8c68f}</author>
    <author>tc={a34bfb39-5e5d-4713-8cd4-caf1c72de28b}</author>
    <author>tc={af9a41fd-6451-45d6-980f-c924bd500ace}</author>
    <author>tc={ba2f787a-4c0e-41cd-891c-c49772beb4a8}</author>
    <author>tc={cfcb3612-fcfb-4d43-b685-3f310e944b16}</author>
    <author>tc={d08427b7-4bc2-45ec-b097-fe32f33263be}</author>
    <author>tc={d1f44074-0023-445a-bca2-b728da8b9562}</author>
    <author>tc={f6b46a7a-1a4d-4717-a37d-7bd6832bfaf1}</author>
  </authors>
  <commentList>
    <comment authorId="0" xr:uid="{03c88abc-4991-4d05-9f8a-7e7f5266932c}" ref="M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Witcher + Igloofest + CY + Nintendo
</t>
      </text>
    </comment>
    <comment authorId="1" xr:uid="{05b1458a-2e8f-4998-82f4-766f8840e08d}" ref="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Bonus Beehivr
Reply:
	+ pret dumesnilt
Reply:
	+ changement argent US
</t>
      </text>
    </comment>
    <comment authorId="2" xr:uid="{14049371-511b-4266-81cf-14cfca80cca8}" ref="P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plaque Jeep
</t>
      </text>
    </comment>
    <comment authorId="3" xr:uid="{1d9217ef-ce44-4aa9-90e9-f208bf483040}" ref="J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assurance emploi Kiwi (985) + bonus Beehivr (476)
</t>
      </text>
    </comment>
    <comment authorId="4" xr:uid="{2acff2ea-61bc-43cc-918e-58f64ee7c76e}" ref="M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Chvx Eric + Osteo Maryse Alexa
</t>
      </text>
    </comment>
    <comment authorId="5" xr:uid="{2bc43645-4bcc-4649-8c40-090fabb5f7f6}" ref="M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Shopping
</t>
      </text>
    </comment>
    <comment authorId="6" xr:uid="{2de9dbda-c2ae-4fbf-af03-68c0ddaab27c}" ref="J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Vernis pour mini chef
</t>
      </text>
    </comment>
    <comment authorId="7" xr:uid="{39fea89b-422a-41a6-864f-a8e9d56ddc21}" ref="P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Lave-vitre
</t>
      </text>
    </comment>
    <comment authorId="8" xr:uid="{3af068b8-6c2b-4725-a621-3d71f619fe24}" ref="P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Remboursement Balance
</t>
      </text>
    </comment>
    <comment authorId="9" xr:uid="{3f7b5e2c-aa0e-46e2-8ffb-cbc7adc3078c}" ref="G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Hotel
</t>
      </text>
    </comment>
    <comment authorId="10" xr:uid="{4ff6100e-f94e-4f2b-b7d2-24a03b5f266e}" ref="G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Cheveux Eric
</t>
      </text>
    </comment>
    <comment authorId="11" xr:uid="{5755c541-9814-453e-b0b6-972da6be4ee4}" ref="P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Dollo (St-val) + Dollo (autre) + Vdv
</t>
      </text>
    </comment>
    <comment authorId="12" xr:uid="{58e01e2d-3fa4-4efa-aedf-ca9f5658f5ad}" ref="P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Trucs Maison
</t>
      </text>
    </comment>
    <comment authorId="13" xr:uid="{5fbae8b8-043a-4105-ae96-49d3927b6b72}" ref="J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Parking Hopital
</t>
      </text>
    </comment>
    <comment authorId="14" xr:uid="{61429b25-a27c-4d75-8e00-f3c9cb482605}" ref="J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Cadeaux
</t>
      </text>
    </comment>
    <comment authorId="15" xr:uid="{79b802db-1a44-4216-ac24-b4f78f690dc1}" ref="J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shopping
</t>
      </text>
    </comment>
    <comment authorId="16" xr:uid="{84b37d2a-8b2c-4130-bfb1-c98da41a739a}" ref="M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Argent Fete Eric
</t>
      </text>
    </comment>
    <comment authorId="17" xr:uid="{859715ce-1d75-4ca8-9898-f53fbb752072}" ref="D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Entertainment + Shopping
</t>
      </text>
    </comment>
    <comment authorId="18" xr:uid="{940d9ec9-929f-45e4-8822-ff1014d133f6}" ref="M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Permis
</t>
      </text>
    </comment>
    <comment authorId="19" xr:uid="{97180f52-72fc-4fc3-8cc4-7537fee8c68f}" ref="P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Chvx Alexa + Orthotherapie Eric
</t>
      </text>
    </comment>
    <comment authorId="20" xr:uid="{a34bfb39-5e5d-4713-8cd4-caf1c72de28b}" ref="G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Changement Pneus + Service &amp; Parts
</t>
      </text>
    </comment>
    <comment authorId="21" xr:uid="{af9a41fd-6451-45d6-980f-c924bd500ace}" ref="K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21$ (+tx) pour les frais US (Baltimore)
</t>
      </text>
    </comment>
    <comment authorId="22" xr:uid="{ba2f787a-4c0e-41cd-891c-c49772beb4a8}" ref="G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Walmart + Dollorama
</t>
      </text>
    </comment>
    <comment authorId="23" xr:uid="{cfcb3612-fcfb-4d43-b685-3f310e944b16}" ref="P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Bonus Beehivr
</t>
      </text>
    </comment>
    <comment authorId="24" xr:uid="{d08427b7-4bc2-45ec-b097-fe32f33263be}" ref="D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Osteo
</t>
      </text>
    </comment>
    <comment authorId="25" xr:uid="{d1f44074-0023-445a-bca2-b728da8b9562}" ref="P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Jeu
</t>
      </text>
    </comment>
    <comment authorId="26" xr:uid="{f6b46a7a-1a4d-4717-a37d-7bd6832bfaf1}" ref="G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CLothing
Reply:
	Ardene + Children Palace + Village Valeur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tc={041f7768-0d94-472c-b92d-07ca3e88f395}</author>
    <author>tc={0a10cbe3-c5ce-4d9c-b161-5ca609e16a0a}</author>
    <author>tc={518ff136-516b-4373-9aae-f77c017ec2a1}</author>
    <author>tc={7276d738-4971-417b-b202-472cb0bdce38}</author>
    <author>tc={832a809f-bdbb-476d-8cef-01acefac9714}</author>
    <author>tc={e90a9bf3-ce9d-4bd0-adf3-e6f9ed6c390e}</author>
    <author>tc={f9e595c2-cf79-4378-aaa6-8547112483ab}</author>
  </authors>
  <commentList>
    <comment authorId="0" xr:uid="{041f7768-0d94-472c-b92d-07ca3e88f395}" ref="H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solenoide Jeep transfer case
</t>
      </text>
    </comment>
    <comment authorId="1" xr:uid="{0a10cbe3-c5ce-4d9c-b161-5ca609e16a0a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Permis Rik
</t>
      </text>
    </comment>
    <comment authorId="2" xr:uid="{518ff136-516b-4373-9aae-f77c017ec2a1}" ref="F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Plaques Mazda
</t>
      </text>
    </comment>
    <comment authorId="3" xr:uid="{7276d738-4971-417b-b202-472cb0bdce38}" ref="F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Frein Mazda
</t>
      </text>
    </comment>
    <comment authorId="4" xr:uid="{832a809f-bdbb-476d-8cef-01acefac9714}" ref="I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freins Jeep avant
</t>
      </text>
    </comment>
    <comment authorId="5" xr:uid="{e90a9bf3-ce9d-4bd0-adf3-e6f9ed6c390e}" ref="C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Plaques Jeep
</t>
      </text>
    </comment>
    <comment authorId="6" xr:uid="{f9e595c2-cf79-4378-aaa6-8547112483ab}" ref="H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Permis Maryse
</t>
      </text>
    </comment>
  </commentList>
</comments>
</file>

<file path=xl/sharedStrings.xml><?xml version="1.0" encoding="utf-8"?>
<sst xmlns="http://schemas.openxmlformats.org/spreadsheetml/2006/main" count="393" uniqueCount="176">
  <si>
    <t>Income</t>
  </si>
  <si>
    <t>Other</t>
  </si>
  <si>
    <t>Total Income</t>
  </si>
  <si>
    <t>Eric</t>
  </si>
  <si>
    <t>Maryse</t>
  </si>
  <si>
    <t>Total Recurring</t>
  </si>
  <si>
    <t>Gouv</t>
  </si>
  <si>
    <t>What's left</t>
  </si>
  <si>
    <t>Expenses</t>
  </si>
  <si>
    <t>🏡 Maison</t>
  </si>
  <si>
    <t>💵 Pret</t>
  </si>
  <si>
    <t>📺 Videotron</t>
  </si>
  <si>
    <t>🐱 Animaux</t>
  </si>
  <si>
    <t>Loyer</t>
  </si>
  <si>
    <t>Etude Eric</t>
  </si>
  <si>
    <t>Hydro</t>
  </si>
  <si>
    <t>📱 Koodo</t>
  </si>
  <si>
    <t>🎓 Kaleido</t>
  </si>
  <si>
    <t>🧾 Abonnements</t>
  </si>
  <si>
    <t>📃 Assurance</t>
  </si>
  <si>
    <t>Spotify</t>
  </si>
  <si>
    <t>🍽 Restaurants</t>
  </si>
  <si>
    <t>💸 Investissement</t>
  </si>
  <si>
    <t>Maison</t>
  </si>
  <si>
    <t>Netflix</t>
  </si>
  <si>
    <t>Auto</t>
  </si>
  <si>
    <t>Google Storage</t>
  </si>
  <si>
    <t>🦷 Dentiste</t>
  </si>
  <si>
    <t>🏫 Service de garde</t>
  </si>
  <si>
    <t>Vie</t>
  </si>
  <si>
    <t>Amazon</t>
  </si>
  <si>
    <t>Xbox</t>
  </si>
  <si>
    <t>💈 Barbier</t>
  </si>
  <si>
    <t>Barbier</t>
  </si>
  <si>
    <t>🍺 Alcool</t>
  </si>
  <si>
    <t>🚙 Auto</t>
  </si>
  <si>
    <t>Jeep</t>
  </si>
  <si>
    <t>💰 Finance</t>
  </si>
  <si>
    <t>Gas</t>
  </si>
  <si>
    <t>Plaque</t>
  </si>
  <si>
    <t>🍏 Epicerie</t>
  </si>
  <si>
    <t>Permis</t>
  </si>
  <si>
    <t>🧻 Pharmacie</t>
  </si>
  <si>
    <t>Achats</t>
  </si>
  <si>
    <t>Medicament</t>
  </si>
  <si>
    <t>Emergency Fund</t>
  </si>
  <si>
    <t>Recurring</t>
  </si>
  <si>
    <t>Target</t>
  </si>
  <si>
    <t>Current</t>
  </si>
  <si>
    <t>Gouv Qc</t>
  </si>
  <si>
    <t>Missing</t>
  </si>
  <si>
    <t>Gouv Can</t>
  </si>
  <si>
    <t>Crédit Garderie</t>
  </si>
  <si>
    <t>📱 Fizz</t>
  </si>
  <si>
    <t>🏫 Garderie</t>
  </si>
  <si>
    <t>Netflix (-8$ parents)</t>
  </si>
  <si>
    <t>Taxes</t>
  </si>
  <si>
    <t>🍺 Autres</t>
  </si>
  <si>
    <t xml:space="preserve">      Orthodonthie Alexa</t>
  </si>
  <si>
    <t>Maison (964 année)</t>
  </si>
  <si>
    <t>Auto (1513 année)</t>
  </si>
  <si>
    <t>Frais de compte</t>
  </si>
  <si>
    <t xml:space="preserve">Ass. Vie -Hypothèque </t>
  </si>
  <si>
    <t>Bébé</t>
  </si>
  <si>
    <t>Date</t>
  </si>
  <si>
    <t>CELI</t>
  </si>
  <si>
    <t>REER</t>
  </si>
  <si>
    <t>REEE</t>
  </si>
  <si>
    <t>Total</t>
  </si>
  <si>
    <t>Mai 2024</t>
  </si>
  <si>
    <t>Sept 2025</t>
  </si>
  <si>
    <t>Janvier</t>
  </si>
  <si>
    <t>Février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</si>
  <si>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</si>
  <si>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</si>
  <si>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</si>
  <si>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</si>
  <si>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</si>
  <si>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</si>
  <si>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</si>
  <si>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</si>
  <si>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</si>
  <si>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Décembre</t>
  </si>
  <si>
    <t>Total Budget</t>
  </si>
  <si>
    <t>Total Reel</t>
  </si>
  <si>
    <t>Budget</t>
  </si>
  <si>
    <t>Réel</t>
  </si>
  <si>
    <t>Total Mois</t>
  </si>
  <si>
    <t>Diff Budget</t>
  </si>
  <si>
    <t>REVENU</t>
  </si>
  <si>
    <t>Vers. anticipé</t>
  </si>
  <si>
    <t>MAISON</t>
  </si>
  <si>
    <t>Hypothèque</t>
  </si>
  <si>
    <t>Ass. Maison</t>
  </si>
  <si>
    <t>Taxes Scolaire</t>
  </si>
  <si>
    <t>AUTO</t>
  </si>
  <si>
    <t>Plaques/Permis</t>
  </si>
  <si>
    <t>Ass. Auto</t>
  </si>
  <si>
    <t>Entretien</t>
  </si>
  <si>
    <t>FINANCE</t>
  </si>
  <si>
    <t>Frais comptes</t>
  </si>
  <si>
    <t>Garderie</t>
  </si>
  <si>
    <t>Kaleido</t>
  </si>
  <si>
    <t>Service de garde</t>
  </si>
  <si>
    <t>Ass. Vie</t>
  </si>
  <si>
    <t>Orthodonthie</t>
  </si>
  <si>
    <t>NOURRITURE</t>
  </si>
  <si>
    <t>Épicerie</t>
  </si>
  <si>
    <t>Restaurant</t>
  </si>
  <si>
    <t>Pharmacie</t>
  </si>
  <si>
    <t>Extra</t>
  </si>
  <si>
    <t>ABONNEMENTS</t>
  </si>
  <si>
    <t>Fizz</t>
  </si>
  <si>
    <t>Google</t>
  </si>
  <si>
    <t>Autre</t>
  </si>
  <si>
    <t>Ostéo / Chiro</t>
  </si>
  <si>
    <t>Pneu</t>
  </si>
  <si>
    <t>Dentiste</t>
  </si>
  <si>
    <t>Cours de danse</t>
  </si>
  <si>
    <t>Camping</t>
  </si>
  <si>
    <t>Réno/Maison</t>
  </si>
  <si>
    <t>Déneigement</t>
  </si>
  <si>
    <t>École</t>
  </si>
  <si>
    <t>optometriste</t>
  </si>
  <si>
    <t>Cadeaux</t>
  </si>
  <si>
    <t>Animaux</t>
  </si>
  <si>
    <t>Entertainment ou sport</t>
  </si>
  <si>
    <t>Camp de jour</t>
  </si>
  <si>
    <t>Natation</t>
  </si>
  <si>
    <t>Vers. Anticipé</t>
  </si>
  <si>
    <t>Apple+Google</t>
  </si>
  <si>
    <t>Ostéo / Ortho</t>
  </si>
  <si>
    <t>INCOME</t>
  </si>
  <si>
    <t>Actual</t>
  </si>
  <si>
    <t>Dif</t>
  </si>
  <si>
    <t>EXPENSES</t>
  </si>
  <si>
    <t>Assurance</t>
  </si>
  <si>
    <t>Paiement Auto</t>
  </si>
  <si>
    <t>Videotron</t>
  </si>
  <si>
    <t>Koodo</t>
  </si>
  <si>
    <t>Pret</t>
  </si>
  <si>
    <t>Abonnements</t>
  </si>
  <si>
    <t>Universitas</t>
  </si>
  <si>
    <t>Plaque/Permis</t>
  </si>
  <si>
    <t>Finance</t>
  </si>
  <si>
    <t>Epicerie</t>
  </si>
  <si>
    <t>Restaurants</t>
  </si>
  <si>
    <t>Alcool</t>
  </si>
  <si>
    <t>RAMQ</t>
  </si>
  <si>
    <t>Autre 1</t>
  </si>
  <si>
    <t>Autre 2</t>
  </si>
  <si>
    <t>Autre 3</t>
  </si>
  <si>
    <t>Autre 4</t>
  </si>
  <si>
    <t>Autre 5</t>
  </si>
  <si>
    <t xml:space="preserve">Total </t>
  </si>
  <si>
    <t>Difference</t>
  </si>
  <si>
    <t>-</t>
  </si>
  <si>
    <t>Bal Jan 12 2020</t>
  </si>
  <si>
    <t>after Visa (03-08)</t>
  </si>
  <si>
    <t>after all payments</t>
  </si>
  <si>
    <t>Total annuel</t>
  </si>
  <si>
    <t>Cumul</t>
  </si>
  <si>
    <t>202,74</t>
  </si>
  <si>
    <t>Réparation</t>
  </si>
  <si>
    <t>Prêt étude</t>
  </si>
  <si>
    <t>Pneus</t>
  </si>
  <si>
    <t>Changement d'huile</t>
  </si>
  <si>
    <t>Réno</t>
  </si>
  <si>
    <t>1000 de côté</t>
  </si>
  <si>
    <t>$/Litres Moyen (2023)</t>
  </si>
  <si>
    <t>Litres</t>
  </si>
  <si>
    <t>KM/Tank</t>
  </si>
  <si>
    <t>KM/Sem</t>
  </si>
  <si>
    <t>Route/Mois</t>
  </si>
  <si>
    <t>Mensuel</t>
  </si>
  <si>
    <t>Mazda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</si>
</sst>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CA$&quot;#,##0"/>
    <numFmt numFmtId="165" formatCode="[$$]#,##0.00"/>
    <numFmt numFmtId="166" formatCode="#,##0.00;(#,##0.00)"/>
    <numFmt numFmtId="167" formatCode="mmm yyyy"/>
    <numFmt numFmtId="168" formatCode="mmmm yyyy"/>
  </numFmts>
  <fonts count="28">
    <font>
      <sz val="10.0"/>
      <color rgb="FF000000"/>
      <name val="Verdana"/>
      <scheme val="minor"/>
    </font>
    <font>
      <b/>
      <sz val="18.0"/>
      <color theme="4"/>
      <name val="Verdana"/>
      <scheme val="minor"/>
    </font>
    <font>
      <color theme="1"/>
      <name val="Verdana"/>
      <scheme val="minor"/>
    </font>
    <font>
      <sz val="12.0"/>
      <color theme="1"/>
      <name val="Verdana"/>
      <scheme val="minor"/>
    </font>
    <font>
      <b/>
      <sz val="14.0"/>
      <color rgb="FFFFFFFF"/>
      <name val="Verdana"/>
      <scheme val="minor"/>
    </font>
    <font>
      <color rgb="FFFFFFFF"/>
      <name val="Verdana"/>
      <scheme val="minor"/>
    </font>
    <font>
      <sz val="14.0"/>
      <color rgb="FFFFFFFF"/>
      <name val="Verdana"/>
      <scheme val="minor"/>
    </font>
    <font>
      <sz val="14.0"/>
      <color theme="7"/>
      <name val="Verdana"/>
      <scheme val="minor"/>
    </font>
    <font>
      <b/>
      <sz val="12.0"/>
      <color rgb="FFFFFFFF"/>
      <name val="Verdana"/>
      <scheme val="minor"/>
    </font>
    <font>
      <b/>
      <color theme="1"/>
      <name val="Verdana"/>
      <scheme val="minor"/>
    </font>
    <font>
      <color rgb="FF3E3E3E"/>
      <name val="Arial"/>
    </font>
    <font>
      <b/>
      <sz val="12.0"/>
      <color rgb="FF000000"/>
      <name val="Verdana"/>
      <scheme val="minor"/>
    </font>
    <font>
      <b/>
      <sz val="18.0"/>
      <color theme="7"/>
      <name val="Verdana"/>
      <scheme val="minor"/>
    </font>
    <font>
      <b/>
      <sz val="12.0"/>
      <color theme="1"/>
      <name val="Verdana"/>
      <scheme val="minor"/>
    </font>
    <font>
      <b/>
      <sz val="12.0"/>
      <color rgb="FF1A1A1A"/>
      <name val="Verdana"/>
    </font>
    <font>
      <sz val="12.0"/>
      <color theme="1"/>
      <name val="Arial"/>
    </font>
    <font>
      <sz val="10.0"/>
      <color theme="1"/>
      <name val="Verdana"/>
      <scheme val="minor"/>
    </font>
    <font>
      <strike/>
      <color theme="1"/>
      <name val="Verdana"/>
      <scheme val="minor"/>
    </font>
    <font>
      <b/>
      <sz val="18.0"/>
      <color theme="1"/>
      <name val="Verdana"/>
      <scheme val="minor"/>
    </font>
    <font/>
    <font>
      <color rgb="FF1A1A1A"/>
      <name val="Verdana"/>
    </font>
    <font>
      <b/>
      <color theme="1"/>
      <name val="Verdana"/>
    </font>
    <font>
      <color theme="1"/>
      <name val="Verdana"/>
    </font>
    <font>
      <b/>
      <sz val="14.0"/>
      <color theme="4"/>
      <name val="Verdana"/>
      <scheme val="minor"/>
    </font>
    <font>
      <b/>
      <sz val="14.0"/>
      <color theme="7"/>
      <name val="Verdana"/>
      <scheme val="minor"/>
    </font>
    <font>
      <b/>
      <sz val="18.0"/>
      <color rgb="FF1A9988"/>
      <name val="Verdana"/>
      <scheme val="minor"/>
    </font>
    <font>
      <sz val="8.0"/>
      <color theme="1"/>
      <name val="Verdana"/>
      <scheme val="minor"/>
    </font>
    <font>
      <strike/>
      <sz val="10.0"/>
      <color theme="1"/>
      <name val="Verdana"/>
      <scheme val="minor"/>
    </font>
  </fonts>
  <fills count="1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EF1F1"/>
        <bgColor rgb="FFEEF1F1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35">
    <border/>
    <border>
      <right/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  <bottom style="thick">
        <color rgb="FF000000"/>
      </bottom>
    </border>
    <border>
      <right style="medium">
        <color rgb="FF000000"/>
      </right>
    </border>
    <border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2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2" numFmtId="0" xfId="0" applyFill="1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readingOrder="0"/>
    </xf>
    <xf borderId="0" fillId="2" fontId="8" numFmtId="0" xfId="0" applyAlignment="1" applyFont="1">
      <alignment readingOrder="0"/>
    </xf>
    <xf borderId="0" fillId="2" fontId="6" numFmtId="0" xfId="0" applyAlignment="1" applyFont="1">
      <alignment horizontal="center"/>
    </xf>
    <xf borderId="0" fillId="0" fontId="3" numFmtId="0" xfId="0" applyFont="1"/>
    <xf borderId="0" fillId="0" fontId="2" numFmtId="0" xfId="0" applyAlignment="1" applyFont="1">
      <alignment horizontal="center"/>
    </xf>
    <xf borderId="0" fillId="0" fontId="9" numFmtId="0" xfId="0" applyAlignment="1" applyFont="1">
      <alignment readingOrder="0"/>
    </xf>
    <xf borderId="0" fillId="3" fontId="8" numFmtId="0" xfId="0" applyAlignment="1" applyFill="1" applyFont="1">
      <alignment readingOrder="0"/>
    </xf>
    <xf borderId="0" fillId="3" fontId="6" numFmtId="0" xfId="0" applyAlignment="1" applyFont="1">
      <alignment horizontal="center"/>
    </xf>
    <xf borderId="0" fillId="4" fontId="10" numFmtId="0" xfId="0" applyAlignment="1" applyFill="1" applyFont="1">
      <alignment horizontal="right" readingOrder="0"/>
    </xf>
    <xf borderId="0" fillId="5" fontId="11" numFmtId="0" xfId="0" applyAlignment="1" applyFill="1" applyFont="1">
      <alignment readingOrder="0"/>
    </xf>
    <xf borderId="0" fillId="5" fontId="6" numFmtId="0" xfId="0" applyAlignment="1" applyFont="1">
      <alignment horizontal="center"/>
    </xf>
    <xf borderId="0" fillId="0" fontId="12" numFmtId="0" xfId="0" applyAlignment="1" applyFont="1">
      <alignment readingOrder="0"/>
    </xf>
    <xf borderId="0" fillId="0" fontId="9" numFmtId="0" xfId="0" applyFont="1"/>
    <xf borderId="0" fillId="3" fontId="12" numFmtId="0" xfId="0" applyAlignment="1" applyFont="1">
      <alignment readingOrder="0"/>
    </xf>
    <xf borderId="0" fillId="3" fontId="2" numFmtId="0" xfId="0" applyFont="1"/>
    <xf borderId="0" fillId="5" fontId="13" numFmtId="0" xfId="0" applyAlignment="1" applyFont="1">
      <alignment readingOrder="0"/>
    </xf>
    <xf borderId="0" fillId="5" fontId="13" numFmtId="0" xfId="0" applyFont="1"/>
    <xf borderId="1" fillId="6" fontId="14" numFmtId="0" xfId="0" applyAlignment="1" applyBorder="1" applyFill="1" applyFont="1">
      <alignment readingOrder="0" shrinkToFit="0" vertical="bottom" wrapText="0"/>
    </xf>
    <xf borderId="0" fillId="6" fontId="15" numFmtId="0" xfId="0" applyAlignment="1" applyFont="1">
      <alignment vertical="bottom"/>
    </xf>
    <xf borderId="0" fillId="6" fontId="14" numFmtId="0" xfId="0" applyAlignment="1" applyFont="1">
      <alignment horizontal="right" readingOrder="0" vertical="bottom"/>
    </xf>
    <xf borderId="0" fillId="4" fontId="10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2" fontId="6" numFmtId="164" xfId="0" applyAlignment="1" applyFont="1" applyNumberFormat="1">
      <alignment horizontal="center"/>
    </xf>
    <xf borderId="0" fillId="7" fontId="9" numFmtId="0" xfId="0" applyAlignment="1" applyFill="1" applyFont="1">
      <alignment readingOrder="0" vertical="center"/>
    </xf>
    <xf borderId="0" fillId="7" fontId="2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readingOrder="0"/>
    </xf>
    <xf borderId="0" fillId="7" fontId="9" numFmtId="0" xfId="0" applyAlignment="1" applyFont="1">
      <alignment readingOrder="0"/>
    </xf>
    <xf borderId="0" fillId="7" fontId="2" numFmtId="0" xfId="0" applyAlignment="1" applyFont="1">
      <alignment readingOrder="0" shrinkToFit="0" vertical="top" wrapText="1"/>
    </xf>
    <xf borderId="0" fillId="3" fontId="6" numFmtId="4" xfId="0" applyAlignment="1" applyFont="1" applyNumberFormat="1">
      <alignment horizontal="center"/>
    </xf>
    <xf borderId="0" fillId="7" fontId="2" numFmtId="4" xfId="0" applyAlignment="1" applyFont="1" applyNumberFormat="1">
      <alignment readingOrder="0" shrinkToFit="0" vertical="bottom" wrapText="1"/>
    </xf>
    <xf borderId="0" fillId="5" fontId="6" numFmtId="164" xfId="0" applyAlignment="1" applyFont="1" applyNumberFormat="1">
      <alignment horizontal="center"/>
    </xf>
    <xf borderId="0" fillId="7" fontId="2" numFmtId="0" xfId="0" applyAlignment="1" applyFont="1">
      <alignment readingOrder="0"/>
    </xf>
    <xf borderId="0" fillId="7" fontId="2" numFmtId="4" xfId="0" applyAlignment="1" applyFont="1" applyNumberFormat="1">
      <alignment readingOrder="0" shrinkToFit="0" vertical="top" wrapText="1"/>
    </xf>
    <xf borderId="0" fillId="7" fontId="2" numFmtId="0" xfId="0" applyFont="1"/>
    <xf borderId="0" fillId="0" fontId="17" numFmtId="0" xfId="0" applyAlignment="1" applyFont="1">
      <alignment readingOrder="0"/>
    </xf>
    <xf borderId="0" fillId="0" fontId="17" numFmtId="0" xfId="0" applyFont="1"/>
    <xf borderId="0" fillId="0" fontId="2" numFmtId="165" xfId="0" applyAlignment="1" applyFont="1" applyNumberFormat="1">
      <alignment readingOrder="0" shrinkToFit="0" vertical="top" wrapText="1"/>
    </xf>
    <xf borderId="0" fillId="0" fontId="2" numFmtId="165" xfId="0" applyFont="1" applyNumberFormat="1"/>
    <xf borderId="0" fillId="5" fontId="13" numFmtId="4" xfId="0" applyFont="1" applyNumberFormat="1"/>
    <xf borderId="0" fillId="5" fontId="13" numFmtId="4" xfId="0" applyAlignment="1" applyFont="1" applyNumberFormat="1">
      <alignment readingOrder="0"/>
    </xf>
    <xf borderId="0" fillId="8" fontId="13" numFmtId="0" xfId="0" applyAlignment="1" applyFill="1" applyFont="1">
      <alignment readingOrder="0"/>
    </xf>
    <xf borderId="0" fillId="8" fontId="2" numFmtId="0" xfId="0" applyFont="1"/>
    <xf borderId="0" fillId="8" fontId="13" numFmtId="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4" xfId="0" applyFont="1" applyNumberFormat="1"/>
    <xf borderId="0" fillId="6" fontId="14" numFmtId="4" xfId="0" applyAlignment="1" applyFont="1" applyNumberFormat="1">
      <alignment horizontal="right" readingOrder="0" vertical="bottom"/>
    </xf>
    <xf borderId="0" fillId="0" fontId="2" numFmtId="166" xfId="0" applyAlignment="1" applyFont="1" applyNumberFormat="1">
      <alignment readingOrder="0"/>
    </xf>
    <xf borderId="0" fillId="0" fontId="10" numFmtId="4" xfId="0" applyAlignment="1" applyFont="1" applyNumberFormat="1">
      <alignment readingOrder="0"/>
    </xf>
    <xf borderId="0" fillId="4" fontId="10" numFmtId="4" xfId="0" applyAlignment="1" applyFont="1" applyNumberFormat="1">
      <alignment readingOrder="0"/>
    </xf>
    <xf borderId="0" fillId="0" fontId="16" numFmtId="4" xfId="0" applyAlignment="1" applyFont="1" applyNumberFormat="1">
      <alignment readingOrder="0"/>
    </xf>
    <xf borderId="0" fillId="0" fontId="2" numFmtId="0" xfId="0" applyAlignment="1" applyFont="1">
      <alignment vertical="center"/>
    </xf>
    <xf borderId="0" fillId="0" fontId="2" numFmtId="165" xfId="0" applyFont="1" applyNumberFormat="1"/>
    <xf borderId="0" fillId="9" fontId="9" numFmtId="0" xfId="0" applyAlignment="1" applyFill="1" applyFont="1">
      <alignment readingOrder="0" shrinkToFit="0" vertical="center" wrapText="1"/>
    </xf>
    <xf borderId="0" fillId="9" fontId="9" numFmtId="0" xfId="0" applyAlignment="1" applyFont="1">
      <alignment horizontal="right" readingOrder="0" vertical="center"/>
    </xf>
    <xf borderId="0" fillId="8" fontId="2" numFmtId="0" xfId="0" applyAlignment="1" applyFont="1">
      <alignment vertical="center"/>
    </xf>
    <xf borderId="0" fillId="0" fontId="9" numFmtId="167" xfId="0" applyAlignment="1" applyFont="1" applyNumberFormat="1">
      <alignment horizontal="left" readingOrder="0" shrinkToFit="0" vertical="center" wrapText="1"/>
    </xf>
    <xf borderId="0" fillId="0" fontId="2" numFmtId="165" xfId="0" applyAlignment="1" applyFont="1" applyNumberFormat="1">
      <alignment vertical="bottom"/>
    </xf>
    <xf borderId="0" fillId="8" fontId="2" numFmtId="165" xfId="0" applyAlignment="1" applyFont="1" applyNumberFormat="1">
      <alignment vertical="bottom"/>
    </xf>
    <xf borderId="0" fillId="0" fontId="9" numFmtId="168" xfId="0" applyAlignment="1" applyFont="1" applyNumberFormat="1">
      <alignment horizontal="left" readingOrder="0" vertical="center"/>
    </xf>
    <xf borderId="0" fillId="0" fontId="2" numFmtId="165" xfId="0" applyAlignment="1" applyFont="1" applyNumberFormat="1">
      <alignment readingOrder="0" vertical="bottom"/>
    </xf>
    <xf borderId="0" fillId="0" fontId="2" numFmtId="165" xfId="0" applyAlignment="1" applyFont="1" applyNumberFormat="1">
      <alignment readingOrder="0"/>
    </xf>
    <xf borderId="0" fillId="8" fontId="2" numFmtId="165" xfId="0" applyFont="1" applyNumberFormat="1"/>
    <xf borderId="0" fillId="0" fontId="9" numFmtId="167" xfId="0" applyAlignment="1" applyFont="1" applyNumberFormat="1">
      <alignment horizontal="left" readingOrder="0" shrinkToFit="0" vertical="top" wrapText="1"/>
    </xf>
    <xf borderId="0" fillId="8" fontId="2" numFmtId="165" xfId="0" applyFont="1" applyNumberFormat="1"/>
    <xf borderId="0" fillId="0" fontId="18" numFmtId="0" xfId="0" applyAlignment="1" applyFont="1">
      <alignment horizontal="center" readingOrder="0" vertical="center"/>
    </xf>
    <xf borderId="0" fillId="0" fontId="9" numFmtId="4" xfId="0" applyAlignment="1" applyFont="1" applyNumberFormat="1">
      <alignment horizontal="center" vertical="center"/>
    </xf>
    <xf borderId="2" fillId="0" fontId="19" numFmtId="0" xfId="0" applyBorder="1" applyFont="1"/>
    <xf borderId="3" fillId="0" fontId="9" numFmtId="4" xfId="0" applyAlignment="1" applyBorder="1" applyFont="1" applyNumberFormat="1">
      <alignment horizontal="center" readingOrder="0" vertical="center"/>
    </xf>
    <xf borderId="4" fillId="0" fontId="9" numFmtId="4" xfId="0" applyAlignment="1" applyBorder="1" applyFont="1" applyNumberFormat="1">
      <alignment horizontal="center" readingOrder="0" vertical="center"/>
    </xf>
    <xf borderId="5" fillId="0" fontId="19" numFmtId="0" xfId="0" applyBorder="1" applyFont="1"/>
    <xf borderId="6" fillId="0" fontId="9" numFmtId="4" xfId="0" applyAlignment="1" applyBorder="1" applyFont="1" applyNumberFormat="1">
      <alignment horizontal="center" readingOrder="0" vertical="center"/>
    </xf>
    <xf borderId="7" fillId="0" fontId="19" numFmtId="0" xfId="0" applyBorder="1" applyFont="1"/>
    <xf borderId="0" fillId="0" fontId="9" numFmtId="4" xfId="0" applyAlignment="1" applyFont="1" applyNumberFormat="1">
      <alignment horizontal="center" readingOrder="0" vertical="center"/>
    </xf>
    <xf borderId="8" fillId="0" fontId="9" numFmtId="4" xfId="0" applyAlignment="1" applyBorder="1" applyFont="1" applyNumberFormat="1">
      <alignment horizontal="center" readingOrder="0" vertical="center"/>
    </xf>
    <xf borderId="9" fillId="0" fontId="9" numFmtId="0" xfId="0" applyAlignment="1" applyBorder="1" applyFont="1">
      <alignment horizontal="center" readingOrder="0" vertical="center"/>
    </xf>
    <xf borderId="10" fillId="0" fontId="9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2" fillId="10" fontId="9" numFmtId="4" xfId="0" applyAlignment="1" applyBorder="1" applyFill="1" applyFont="1" applyNumberFormat="1">
      <alignment horizontal="center" readingOrder="0" vertical="center"/>
    </xf>
    <xf borderId="0" fillId="10" fontId="9" numFmtId="4" xfId="0" applyAlignment="1" applyFont="1" applyNumberFormat="1">
      <alignment horizontal="center" readingOrder="0" vertical="center"/>
    </xf>
    <xf borderId="7" fillId="10" fontId="9" numFmtId="4" xfId="0" applyAlignment="1" applyBorder="1" applyFont="1" applyNumberFormat="1">
      <alignment horizontal="center" readingOrder="0" vertical="center"/>
    </xf>
    <xf borderId="10" fillId="0" fontId="9" numFmtId="0" xfId="0" applyAlignment="1" applyBorder="1" applyFont="1">
      <alignment readingOrder="0"/>
    </xf>
    <xf borderId="0" fillId="0" fontId="16" numFmtId="4" xfId="0" applyAlignment="1" applyFont="1" applyNumberFormat="1">
      <alignment horizontal="right"/>
    </xf>
    <xf borderId="3" fillId="0" fontId="16" numFmtId="4" xfId="0" applyAlignment="1" applyBorder="1" applyFont="1" applyNumberFormat="1">
      <alignment horizontal="right"/>
    </xf>
    <xf borderId="6" fillId="0" fontId="16" numFmtId="4" xfId="0" applyAlignment="1" applyBorder="1" applyFont="1" applyNumberFormat="1">
      <alignment horizontal="right"/>
    </xf>
    <xf borderId="7" fillId="0" fontId="16" numFmtId="4" xfId="0" applyAlignment="1" applyBorder="1" applyFont="1" applyNumberFormat="1">
      <alignment horizontal="right"/>
    </xf>
    <xf borderId="9" fillId="0" fontId="16" numFmtId="4" xfId="0" applyAlignment="1" applyBorder="1" applyFont="1" applyNumberFormat="1">
      <alignment horizontal="right"/>
    </xf>
    <xf borderId="10" fillId="0" fontId="2" numFmtId="166" xfId="0" applyBorder="1" applyFont="1" applyNumberFormat="1"/>
    <xf borderId="0" fillId="0" fontId="2" numFmtId="166" xfId="0" applyFont="1" applyNumberFormat="1"/>
    <xf borderId="2" fillId="0" fontId="16" numFmtId="4" xfId="0" applyAlignment="1" applyBorder="1" applyFont="1" applyNumberFormat="1">
      <alignment horizontal="right"/>
    </xf>
    <xf borderId="8" fillId="0" fontId="16" numFmtId="4" xfId="0" applyAlignment="1" applyBorder="1" applyFont="1" applyNumberFormat="1">
      <alignment horizontal="right"/>
    </xf>
    <xf borderId="10" fillId="11" fontId="2" numFmtId="166" xfId="0" applyBorder="1" applyFill="1" applyFont="1" applyNumberFormat="1"/>
    <xf borderId="2" fillId="0" fontId="2" numFmtId="4" xfId="0" applyBorder="1" applyFont="1" applyNumberFormat="1"/>
    <xf borderId="8" fillId="0" fontId="2" numFmtId="4" xfId="0" applyBorder="1" applyFont="1" applyNumberFormat="1"/>
    <xf borderId="11" fillId="0" fontId="2" numFmtId="4" xfId="0" applyBorder="1" applyFont="1" applyNumberFormat="1"/>
    <xf borderId="3" fillId="0" fontId="2" numFmtId="4" xfId="0" applyBorder="1" applyFont="1" applyNumberFormat="1"/>
    <xf borderId="9" fillId="0" fontId="2" numFmtId="4" xfId="0" applyBorder="1" applyFont="1" applyNumberFormat="1"/>
    <xf borderId="12" fillId="0" fontId="2" numFmtId="4" xfId="0" applyBorder="1" applyFont="1" applyNumberFormat="1"/>
    <xf borderId="10" fillId="0" fontId="2" numFmtId="0" xfId="0" applyBorder="1" applyFont="1"/>
    <xf borderId="0" fillId="12" fontId="9" numFmtId="0" xfId="0" applyAlignment="1" applyFill="1" applyFont="1">
      <alignment readingOrder="0"/>
    </xf>
    <xf borderId="2" fillId="12" fontId="16" numFmtId="4" xfId="0" applyAlignment="1" applyBorder="1" applyFont="1" applyNumberFormat="1">
      <alignment horizontal="right"/>
    </xf>
    <xf borderId="8" fillId="12" fontId="16" numFmtId="4" xfId="0" applyAlignment="1" applyBorder="1" applyFont="1" applyNumberFormat="1">
      <alignment horizontal="right"/>
    </xf>
    <xf borderId="11" fillId="12" fontId="16" numFmtId="4" xfId="0" applyAlignment="1" applyBorder="1" applyFont="1" applyNumberFormat="1">
      <alignment horizontal="right"/>
    </xf>
    <xf borderId="9" fillId="12" fontId="2" numFmtId="4" xfId="0" applyAlignment="1" applyBorder="1" applyFont="1" applyNumberFormat="1">
      <alignment readingOrder="0"/>
    </xf>
    <xf borderId="10" fillId="11" fontId="2" numFmtId="166" xfId="0" applyAlignment="1" applyBorder="1" applyFont="1" applyNumberFormat="1">
      <alignment readingOrder="0"/>
    </xf>
    <xf borderId="0" fillId="13" fontId="2" numFmtId="0" xfId="0" applyAlignment="1" applyFill="1" applyFont="1">
      <alignment readingOrder="0"/>
    </xf>
    <xf borderId="2" fillId="13" fontId="16" numFmtId="4" xfId="0" applyAlignment="1" applyBorder="1" applyFont="1" applyNumberFormat="1">
      <alignment horizontal="right" readingOrder="0"/>
    </xf>
    <xf borderId="8" fillId="10" fontId="16" numFmtId="4" xfId="0" applyAlignment="1" applyBorder="1" applyFont="1" applyNumberFormat="1">
      <alignment horizontal="right" readingOrder="0"/>
    </xf>
    <xf borderId="8" fillId="13" fontId="16" numFmtId="4" xfId="0" applyAlignment="1" applyBorder="1" applyFont="1" applyNumberFormat="1">
      <alignment horizontal="right" readingOrder="0"/>
    </xf>
    <xf borderId="3" fillId="10" fontId="16" numFmtId="4" xfId="0" applyAlignment="1" applyBorder="1" applyFont="1" applyNumberFormat="1">
      <alignment horizontal="right" readingOrder="0"/>
    </xf>
    <xf borderId="11" fillId="13" fontId="16" numFmtId="4" xfId="0" applyAlignment="1" applyBorder="1" applyFont="1" applyNumberFormat="1">
      <alignment horizontal="right" readingOrder="0"/>
    </xf>
    <xf borderId="12" fillId="10" fontId="16" numFmtId="4" xfId="0" applyAlignment="1" applyBorder="1" applyFont="1" applyNumberFormat="1">
      <alignment horizontal="right" readingOrder="0"/>
    </xf>
    <xf borderId="3" fillId="13" fontId="16" numFmtId="4" xfId="0" applyAlignment="1" applyBorder="1" applyFont="1" applyNumberFormat="1">
      <alignment horizontal="right" readingOrder="0"/>
    </xf>
    <xf borderId="9" fillId="0" fontId="2" numFmtId="4" xfId="0" applyAlignment="1" applyBorder="1" applyFont="1" applyNumberFormat="1">
      <alignment readingOrder="0"/>
    </xf>
    <xf borderId="8" fillId="13" fontId="20" numFmtId="4" xfId="0" applyAlignment="1" applyBorder="1" applyFont="1" applyNumberFormat="1">
      <alignment horizontal="right" readingOrder="0"/>
    </xf>
    <xf borderId="2" fillId="13" fontId="2" numFmtId="4" xfId="0" applyBorder="1" applyFont="1" applyNumberFormat="1"/>
    <xf borderId="8" fillId="10" fontId="2" numFmtId="4" xfId="0" applyBorder="1" applyFont="1" applyNumberFormat="1"/>
    <xf borderId="8" fillId="13" fontId="2" numFmtId="4" xfId="0" applyBorder="1" applyFont="1" applyNumberFormat="1"/>
    <xf borderId="8" fillId="10" fontId="2" numFmtId="4" xfId="0" applyAlignment="1" applyBorder="1" applyFont="1" applyNumberFormat="1">
      <alignment readingOrder="0"/>
    </xf>
    <xf borderId="3" fillId="10" fontId="2" numFmtId="4" xfId="0" applyAlignment="1" applyBorder="1" applyFont="1" applyNumberFormat="1">
      <alignment readingOrder="0"/>
    </xf>
    <xf borderId="11" fillId="13" fontId="2" numFmtId="4" xfId="0" applyBorder="1" applyFont="1" applyNumberFormat="1"/>
    <xf borderId="12" fillId="10" fontId="2" numFmtId="4" xfId="0" applyAlignment="1" applyBorder="1" applyFont="1" applyNumberFormat="1">
      <alignment readingOrder="0"/>
    </xf>
    <xf borderId="3" fillId="13" fontId="2" numFmtId="4" xfId="0" applyBorder="1" applyFont="1" applyNumberFormat="1"/>
    <xf borderId="11" fillId="0" fontId="16" numFmtId="4" xfId="0" applyAlignment="1" applyBorder="1" applyFont="1" applyNumberFormat="1">
      <alignment horizontal="right"/>
    </xf>
    <xf borderId="12" fillId="0" fontId="16" numFmtId="4" xfId="0" applyAlignment="1" applyBorder="1" applyFont="1" applyNumberFormat="1">
      <alignment horizontal="right"/>
    </xf>
    <xf borderId="0" fillId="8" fontId="9" numFmtId="0" xfId="0" applyAlignment="1" applyFont="1">
      <alignment readingOrder="0"/>
    </xf>
    <xf borderId="2" fillId="8" fontId="16" numFmtId="4" xfId="0" applyAlignment="1" applyBorder="1" applyFont="1" applyNumberFormat="1">
      <alignment horizontal="right"/>
    </xf>
    <xf borderId="8" fillId="11" fontId="16" numFmtId="4" xfId="0" applyAlignment="1" applyBorder="1" applyFont="1" applyNumberFormat="1">
      <alignment horizontal="right"/>
    </xf>
    <xf borderId="8" fillId="8" fontId="16" numFmtId="4" xfId="0" applyAlignment="1" applyBorder="1" applyFont="1" applyNumberFormat="1">
      <alignment horizontal="right"/>
    </xf>
    <xf borderId="3" fillId="11" fontId="16" numFmtId="4" xfId="0" applyAlignment="1" applyBorder="1" applyFont="1" applyNumberFormat="1">
      <alignment horizontal="right"/>
    </xf>
    <xf borderId="11" fillId="8" fontId="16" numFmtId="4" xfId="0" applyAlignment="1" applyBorder="1" applyFont="1" applyNumberFormat="1">
      <alignment horizontal="right"/>
    </xf>
    <xf borderId="12" fillId="11" fontId="16" numFmtId="4" xfId="0" applyAlignment="1" applyBorder="1" applyFont="1" applyNumberFormat="1">
      <alignment horizontal="right"/>
    </xf>
    <xf borderId="3" fillId="8" fontId="16" numFmtId="4" xfId="0" applyAlignment="1" applyBorder="1" applyFont="1" applyNumberFormat="1">
      <alignment horizontal="right"/>
    </xf>
    <xf borderId="9" fillId="8" fontId="2" numFmtId="4" xfId="0" applyAlignment="1" applyBorder="1" applyFont="1" applyNumberFormat="1">
      <alignment readingOrder="0"/>
    </xf>
    <xf borderId="2" fillId="0" fontId="16" numFmtId="4" xfId="0" applyAlignment="1" applyBorder="1" applyFont="1" applyNumberFormat="1">
      <alignment horizontal="right" readingOrder="0"/>
    </xf>
    <xf borderId="8" fillId="0" fontId="16" numFmtId="4" xfId="0" applyAlignment="1" applyBorder="1" applyFont="1" applyNumberFormat="1">
      <alignment horizontal="right" readingOrder="0"/>
    </xf>
    <xf borderId="11" fillId="0" fontId="16" numFmtId="4" xfId="0" applyAlignment="1" applyBorder="1" applyFont="1" applyNumberFormat="1">
      <alignment horizontal="right" readingOrder="0"/>
    </xf>
    <xf borderId="3" fillId="0" fontId="16" numFmtId="4" xfId="0" applyAlignment="1" applyBorder="1" applyFont="1" applyNumberFormat="1">
      <alignment horizontal="right" readingOrder="0"/>
    </xf>
    <xf borderId="8" fillId="10" fontId="16" numFmtId="4" xfId="0" applyAlignment="1" applyBorder="1" applyFont="1" applyNumberFormat="1">
      <alignment horizontal="right"/>
    </xf>
    <xf borderId="3" fillId="10" fontId="16" numFmtId="4" xfId="0" applyAlignment="1" applyBorder="1" applyFont="1" applyNumberFormat="1">
      <alignment horizontal="right"/>
    </xf>
    <xf borderId="12" fillId="0" fontId="16" numFmtId="4" xfId="0" applyAlignment="1" applyBorder="1" applyFont="1" applyNumberFormat="1">
      <alignment horizontal="right" readingOrder="0"/>
    </xf>
    <xf borderId="0" fillId="8" fontId="21" numFmtId="4" xfId="0" applyAlignment="1" applyFont="1" applyNumberFormat="1">
      <alignment vertical="bottom"/>
    </xf>
    <xf borderId="0" fillId="0" fontId="22" numFmtId="4" xfId="0" applyAlignment="1" applyFont="1" applyNumberFormat="1">
      <alignment vertical="bottom"/>
    </xf>
    <xf borderId="0" fillId="0" fontId="22" numFmtId="4" xfId="0" applyAlignment="1" applyFont="1" applyNumberFormat="1">
      <alignment readingOrder="0" vertical="bottom"/>
    </xf>
    <xf borderId="8" fillId="0" fontId="2" numFmtId="0" xfId="0" applyBorder="1" applyFont="1"/>
    <xf borderId="12" fillId="10" fontId="2" numFmtId="4" xfId="0" applyBorder="1" applyFont="1" applyNumberFormat="1"/>
    <xf borderId="3" fillId="10" fontId="2" numFmtId="4" xfId="0" applyBorder="1" applyFont="1" applyNumberFormat="1"/>
    <xf borderId="12" fillId="10" fontId="16" numFmtId="4" xfId="0" applyAlignment="1" applyBorder="1" applyFont="1" applyNumberFormat="1">
      <alignment horizontal="right"/>
    </xf>
    <xf borderId="8" fillId="10" fontId="2" numFmtId="0" xfId="0" applyBorder="1" applyFont="1"/>
    <xf borderId="8" fillId="0" fontId="2" numFmtId="0" xfId="0" applyAlignment="1" applyBorder="1" applyFont="1">
      <alignment readingOrder="0"/>
    </xf>
    <xf borderId="8" fillId="10" fontId="2" numFmtId="0" xfId="0" applyAlignment="1" applyBorder="1" applyFont="1">
      <alignment readingOrder="0"/>
    </xf>
    <xf borderId="3" fillId="10" fontId="2" numFmtId="0" xfId="0" applyAlignment="1" applyBorder="1" applyFont="1">
      <alignment readingOrder="0"/>
    </xf>
    <xf borderId="11" fillId="0" fontId="2" numFmtId="0" xfId="0" applyAlignment="1" applyBorder="1" applyFont="1">
      <alignment readingOrder="0"/>
    </xf>
    <xf borderId="12" fillId="10" fontId="2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9" fillId="0" fontId="2" numFmtId="0" xfId="0" applyBorder="1" applyFont="1"/>
    <xf borderId="11" fillId="0" fontId="2" numFmtId="0" xfId="0" applyBorder="1" applyFont="1"/>
    <xf borderId="0" fillId="10" fontId="2" numFmtId="0" xfId="0" applyFont="1"/>
    <xf borderId="6" fillId="0" fontId="2" numFmtId="0" xfId="0" applyBorder="1" applyFont="1"/>
    <xf borderId="7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3" fillId="12" fontId="16" numFmtId="4" xfId="0" applyAlignment="1" applyBorder="1" applyFont="1" applyNumberFormat="1">
      <alignment horizontal="right"/>
    </xf>
    <xf borderId="12" fillId="12" fontId="16" numFmtId="4" xfId="0" applyAlignment="1" applyBorder="1" applyFont="1" applyNumberFormat="1">
      <alignment horizontal="right"/>
    </xf>
    <xf borderId="10" fillId="10" fontId="2" numFmtId="166" xfId="0" applyAlignment="1" applyBorder="1" applyFont="1" applyNumberFormat="1">
      <alignment readingOrder="0"/>
    </xf>
    <xf borderId="10" fillId="0" fontId="2" numFmtId="166" xfId="0" applyAlignment="1" applyBorder="1" applyFont="1" applyNumberFormat="1">
      <alignment readingOrder="0"/>
    </xf>
    <xf borderId="15" fillId="0" fontId="9" numFmtId="168" xfId="0" applyAlignment="1" applyBorder="1" applyFont="1" applyNumberFormat="1">
      <alignment horizontal="center" readingOrder="0"/>
    </xf>
    <xf borderId="16" fillId="0" fontId="19" numFmtId="0" xfId="0" applyBorder="1" applyFont="1"/>
    <xf borderId="17" fillId="0" fontId="19" numFmtId="0" xfId="0" applyBorder="1" applyFont="1"/>
    <xf borderId="18" fillId="0" fontId="23" numFmtId="0" xfId="0" applyAlignment="1" applyBorder="1" applyFont="1">
      <alignment horizontal="center" readingOrder="0" vertical="center"/>
    </xf>
    <xf borderId="18" fillId="0" fontId="2" numFmtId="0" xfId="0" applyBorder="1" applyFont="1"/>
    <xf borderId="19" fillId="0" fontId="9" numFmtId="0" xfId="0" applyAlignment="1" applyBorder="1" applyFont="1">
      <alignment horizontal="center" readingOrder="0"/>
    </xf>
    <xf borderId="20" fillId="0" fontId="9" numFmtId="0" xfId="0" applyAlignment="1" applyBorder="1" applyFont="1">
      <alignment horizontal="center" readingOrder="0"/>
    </xf>
    <xf borderId="21" fillId="0" fontId="9" numFmtId="0" xfId="0" applyAlignment="1" applyBorder="1" applyFont="1">
      <alignment horizontal="center" readingOrder="0"/>
    </xf>
    <xf borderId="0" fillId="0" fontId="2" numFmtId="0" xfId="0" applyFont="1"/>
    <xf borderId="6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22" fillId="5" fontId="9" numFmtId="0" xfId="0" applyAlignment="1" applyBorder="1" applyFont="1">
      <alignment readingOrder="0"/>
    </xf>
    <xf borderId="23" fillId="5" fontId="9" numFmtId="0" xfId="0" applyBorder="1" applyFont="1"/>
    <xf borderId="22" fillId="5" fontId="9" numFmtId="0" xfId="0" applyBorder="1" applyFont="1"/>
    <xf borderId="7" fillId="5" fontId="9" numFmtId="0" xfId="0" applyBorder="1" applyFont="1"/>
    <xf borderId="18" fillId="0" fontId="24" numFmtId="0" xfId="0" applyAlignment="1" applyBorder="1" applyFont="1">
      <alignment horizontal="center" readingOrder="0" vertical="center"/>
    </xf>
    <xf borderId="24" fillId="0" fontId="2" numFmtId="0" xfId="0" applyBorder="1" applyFont="1"/>
    <xf borderId="25" fillId="0" fontId="2" numFmtId="0" xfId="0" applyBorder="1" applyFont="1"/>
    <xf borderId="7" fillId="0" fontId="2" numFmtId="4" xfId="0" applyBorder="1" applyFont="1" applyNumberFormat="1"/>
    <xf borderId="22" fillId="0" fontId="19" numFmtId="0" xfId="0" applyBorder="1" applyFont="1"/>
    <xf borderId="26" fillId="5" fontId="9" numFmtId="0" xfId="0" applyBorder="1" applyFont="1"/>
    <xf borderId="22" fillId="5" fontId="9" numFmtId="4" xfId="0" applyBorder="1" applyFont="1" applyNumberFormat="1"/>
    <xf borderId="26" fillId="5" fontId="9" numFmtId="4" xfId="0" applyBorder="1" applyFont="1" applyNumberFormat="1"/>
    <xf borderId="0" fillId="5" fontId="9" numFmtId="0" xfId="0" applyAlignment="1" applyFont="1">
      <alignment horizontal="center" readingOrder="0" vertical="center"/>
    </xf>
    <xf borderId="0" fillId="5" fontId="25" numFmtId="0" xfId="0" applyAlignment="1" applyFont="1">
      <alignment horizontal="center" readingOrder="0" vertical="center"/>
    </xf>
    <xf borderId="0" fillId="5" fontId="18" numFmtId="0" xfId="0" applyAlignment="1" applyFont="1">
      <alignment horizontal="center"/>
    </xf>
    <xf borderId="0" fillId="5" fontId="18" numFmtId="4" xfId="0" applyAlignment="1" applyFont="1" applyNumberFormat="1">
      <alignment horizontal="center"/>
    </xf>
    <xf borderId="0" fillId="0" fontId="2" numFmtId="0" xfId="0" applyAlignment="1" applyFont="1">
      <alignment horizontal="right" readingOrder="0"/>
    </xf>
    <xf borderId="0" fillId="0" fontId="26" numFmtId="0" xfId="0" applyAlignment="1" applyFont="1">
      <alignment horizontal="right" readingOrder="0"/>
    </xf>
    <xf borderId="27" fillId="0" fontId="9" numFmtId="4" xfId="0" applyAlignment="1" applyBorder="1" applyFont="1" applyNumberFormat="1">
      <alignment horizontal="center" vertical="center"/>
    </xf>
    <xf borderId="27" fillId="0" fontId="9" numFmtId="4" xfId="0" applyAlignment="1" applyBorder="1" applyFont="1" applyNumberFormat="1">
      <alignment horizontal="center" readingOrder="0" vertical="center"/>
    </xf>
    <xf borderId="28" fillId="0" fontId="16" numFmtId="4" xfId="0" applyAlignment="1" applyBorder="1" applyFont="1" applyNumberFormat="1">
      <alignment horizontal="right"/>
    </xf>
    <xf borderId="29" fillId="0" fontId="16" numFmtId="4" xfId="0" applyAlignment="1" applyBorder="1" applyFont="1" applyNumberFormat="1">
      <alignment horizontal="right"/>
    </xf>
    <xf borderId="30" fillId="0" fontId="16" numFmtId="4" xfId="0" applyAlignment="1" applyBorder="1" applyFont="1" applyNumberFormat="1">
      <alignment horizontal="right"/>
    </xf>
    <xf borderId="31" fillId="0" fontId="16" numFmtId="4" xfId="0" applyAlignment="1" applyBorder="1" applyFont="1" applyNumberFormat="1">
      <alignment horizontal="right"/>
    </xf>
    <xf borderId="32" fillId="0" fontId="2" numFmtId="4" xfId="0" applyBorder="1" applyFont="1" applyNumberFormat="1"/>
    <xf borderId="33" fillId="0" fontId="2" numFmtId="4" xfId="0" applyBorder="1" applyFont="1" applyNumberFormat="1"/>
    <xf borderId="0" fillId="8" fontId="16" numFmtId="4" xfId="0" applyAlignment="1" applyFont="1" applyNumberFormat="1">
      <alignment horizontal="right"/>
    </xf>
    <xf borderId="27" fillId="8" fontId="16" numFmtId="4" xfId="0" applyAlignment="1" applyBorder="1" applyFont="1" applyNumberFormat="1">
      <alignment horizontal="right" readingOrder="0"/>
    </xf>
    <xf borderId="0" fillId="8" fontId="2" numFmtId="4" xfId="0" applyAlignment="1" applyFont="1" applyNumberFormat="1">
      <alignment readingOrder="0"/>
    </xf>
    <xf borderId="27" fillId="12" fontId="16" numFmtId="4" xfId="0" applyAlignment="1" applyBorder="1" applyFont="1" applyNumberFormat="1">
      <alignment horizontal="right"/>
    </xf>
    <xf borderId="27" fillId="12" fontId="16" numFmtId="4" xfId="0" applyAlignment="1" applyBorder="1" applyFont="1" applyNumberFormat="1">
      <alignment horizontal="right" readingOrder="0"/>
    </xf>
    <xf borderId="0" fillId="12" fontId="2" numFmtId="4" xfId="0" applyAlignment="1" applyFont="1" applyNumberFormat="1">
      <alignment readingOrder="0"/>
    </xf>
    <xf borderId="27" fillId="13" fontId="16" numFmtId="4" xfId="0" applyAlignment="1" applyBorder="1" applyFont="1" applyNumberFormat="1">
      <alignment horizontal="right"/>
    </xf>
    <xf borderId="27" fillId="13" fontId="16" numFmtId="4" xfId="0" applyAlignment="1" applyBorder="1" applyFont="1" applyNumberFormat="1">
      <alignment horizontal="right" readingOrder="0"/>
    </xf>
    <xf borderId="0" fillId="0" fontId="16" numFmtId="4" xfId="0" applyAlignment="1" applyFont="1" applyNumberFormat="1">
      <alignment horizontal="right" readingOrder="0"/>
    </xf>
    <xf borderId="0" fillId="0" fontId="20" numFmtId="4" xfId="0" applyAlignment="1" applyFont="1" applyNumberFormat="1">
      <alignment horizontal="right" readingOrder="0"/>
    </xf>
    <xf borderId="27" fillId="0" fontId="16" numFmtId="4" xfId="0" applyAlignment="1" applyBorder="1" applyFont="1" applyNumberFormat="1">
      <alignment horizontal="right"/>
    </xf>
    <xf borderId="27" fillId="8" fontId="16" numFmtId="4" xfId="0" applyAlignment="1" applyBorder="1" applyFont="1" applyNumberFormat="1">
      <alignment horizontal="right"/>
    </xf>
    <xf borderId="0" fillId="8" fontId="2" numFmtId="4" xfId="0" applyFont="1" applyNumberFormat="1"/>
    <xf borderId="27" fillId="0" fontId="16" numFmtId="4" xfId="0" applyAlignment="1" applyBorder="1" applyFont="1" applyNumberFormat="1">
      <alignment horizontal="right" readingOrder="0"/>
    </xf>
    <xf borderId="27" fillId="0" fontId="27" numFmtId="4" xfId="0" applyAlignment="1" applyBorder="1" applyFont="1" applyNumberFormat="1">
      <alignment horizontal="right" readingOrder="0"/>
    </xf>
    <xf borderId="0" fillId="0" fontId="21" numFmtId="4" xfId="0" applyAlignment="1" applyFont="1" applyNumberFormat="1">
      <alignment vertical="bottom"/>
    </xf>
    <xf borderId="27" fillId="0" fontId="27" numFmtId="4" xfId="0" applyAlignment="1" applyBorder="1" applyFont="1" applyNumberFormat="1">
      <alignment horizontal="right"/>
    </xf>
    <xf borderId="0" fillId="8" fontId="9" numFmtId="4" xfId="0" applyFont="1" applyNumberFormat="1"/>
    <xf borderId="27" fillId="0" fontId="2" numFmtId="4" xfId="0" applyBorder="1" applyFont="1" applyNumberFormat="1"/>
    <xf borderId="34" fillId="0" fontId="2" numFmtId="4" xfId="0" applyBorder="1" applyFont="1" applyNumberFormat="1"/>
    <xf borderId="34" fillId="0" fontId="2" numFmtId="4" xfId="0" applyAlignment="1" applyBorder="1" applyFont="1" applyNumberFormat="1">
      <alignment readingOrder="0"/>
    </xf>
    <xf borderId="34" fillId="0" fontId="16" numFmtId="4" xfId="0" applyAlignment="1" applyBorder="1" applyFont="1" applyNumberFormat="1">
      <alignment horizontal="right"/>
    </xf>
    <xf borderId="34" fillId="0" fontId="16" numFmtId="4" xfId="0" applyAlignment="1" applyBorder="1" applyFont="1" applyNumberFormat="1">
      <alignment horizontal="right" readingOrder="0"/>
    </xf>
    <xf borderId="34" fillId="0" fontId="2" numFmtId="0" xfId="0" applyBorder="1" applyFont="1"/>
    <xf borderId="34" fillId="0" fontId="2" numFmtId="0" xfId="0" applyAlignment="1" applyBorder="1" applyFont="1">
      <alignment readingOrder="0"/>
    </xf>
    <xf borderId="0" fillId="13" fontId="9" numFmtId="0" xfId="0" applyAlignment="1" applyFont="1">
      <alignment readingOrder="0"/>
    </xf>
  </cellXfs>
  <cellStyles count="1">
    <cellStyle xfId="0" name="Normal" builtinId="0"/>
  </cellStyles>
  <dxfs count="11">
    <dxf>
      <font>
        <color rgb="FFFF0000"/>
      </font>
      <fill>
        <patternFill patternType="solid">
          <fgColor theme="0"/>
          <bgColor theme="0"/>
        </patternFill>
      </fill>
      <border/>
    </dxf>
    <dxf>
      <font>
        <color theme="4"/>
      </font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B8043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color rgb="FF2D729D"/>
      </font>
      <fill>
        <patternFill patternType="none"/>
      </fill>
      <border/>
    </dxf>
    <dxf>
      <font>
        <color theme="5"/>
      </font>
      <fill>
        <patternFill patternType="solid">
          <fgColor rgb="FFEEF1F1"/>
          <bgColor rgb="FFEEF1F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>
  <Task id="{f91145b1-8764-475d-a0a0-c5a88806f809}">
    <Anchor>
      <Comment id="{39e634c8-5ab6-4768-b63a-420f79cfdd32}"/>
    </Anchor>
    <History>
      <Event time="2024-11-05T17:49:35.00" id="{e794baf7-3a51-4274-bdd3-7f023b27e350}">
        <Attribution userId="placeholder@email.com" userName="Eric Dumesnil" userProvider="google-sheets"/>
        <Anchor>
          <Comment id="{39e634c8-5ab6-4768-b63a-420f79cfdd32}"/>
        </Anchor>
        <Create/>
      </Event>
      <Event time="2024-11-05T17:49:35.00" id="{2b4857db-eefa-4501-af3f-666dac1c44d9}">
        <Attribution userId="placeholder@email.com" userName="Eric Dumesnil" userProvider="google-sheets"/>
        <Anchor>
          <Comment id="{39e634c8-5ab6-4768-b63a-420f79cfdd32}"/>
        </Anchor>
        <Assign userId="maryse.cyr@gmail.com" userName="maryse.cyr@gmail.com" userProvider="google-sheets"/>
      </Event>
    </History>
  </Task>
</Tasks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ric Dumesnil" id="{894dbd31-98b8-4b0b-b3f8-ec158f1ce10d}" providerId="google-sheets"/>
  <x18tc:person displayName="maryse.cyr@gmail.com" id="{bab21c2d-09d1-48ab-869b-bd6f3d1140dd}" userId="maryse.cyr@gmail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64" dT="2025-04-10T00:36:33.00" personId="{894dbd31-98b8-4b0b-b3f8-ec158f1ce10d}" id="{e727050f-608d-43c0-a435-9eff96c8ee17}" done="0">
    <x18tc:text xml:space="preserve">bar maryse</x18tc:text>
  </x18tc:threadedComment>
  <x18tc:threadedComment ref="G64" dT="2025-04-10T00:45:07.00" personId="{894dbd31-98b8-4b0b-b3f8-ec158f1ce10d}" id="{16386110-6c6b-40fb-bbba-f27a68707000}" parentId="{e727050f-608d-43c0-a435-9eff96c8ee17}">
    <x18tc:text xml:space="preserve">maillot william</x18tc:text>
  </x18tc:threadedComment>
  <x18tc:threadedComment ref="G64" dT="2025-04-10T00:49:46.00" personId="{894dbd31-98b8-4b0b-b3f8-ec158f1ce10d}" id="{b308e933-06ee-4753-ac7b-947d61dbf172}" parentId="{e727050f-608d-43c0-a435-9eff96c8ee17}">
    <x18tc:text xml:space="preserve">Audible</x18tc:text>
  </x18tc:threadedComment>
  <x18tc:threadedComment ref="G64" dT="2025-04-10T00:50:11.00" personId="{894dbd31-98b8-4b0b-b3f8-ec158f1ce10d}" id="{1d9f0017-a831-4f09-b5fa-70cc157c300b}" parentId="{e727050f-608d-43c0-a435-9eff96c8ee17}">
    <x18tc:text xml:space="preserve">Dollo 23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52" dT="2024-04-11T17:31:01.00" personId="{894dbd31-98b8-4b0b-b3f8-ec158f1ce10d}" id="{c425a0cc-83a9-477d-8224-029e09ad413d}" done="0">
    <x18tc:text xml:space="preserve">Nettoyage Rik + Reparation Maryse</x18tc:text>
  </x18tc:threadedComment>
  <x18tc:threadedComment ref="G32" dT="2024-03-29T23:23:27.00" personId="{894dbd31-98b8-4b0b-b3f8-ec158f1ce10d}" id="{f4b96362-d666-4adf-94dd-1b9eb631083b}" done="0">
    <x18tc:text xml:space="preserve">Camp de jour</x18tc:text>
  </x18tc:threadedComment>
  <x18tc:threadedComment ref="M11" dT="2024-11-05T17:49:35.00" personId="{894dbd31-98b8-4b0b-b3f8-ec158f1ce10d}" id="{39e634c8-5ab6-4768-b63a-420f79cfdd32}" done="1">
    <x18tc:text xml:space="preserve">@maryse.cyr@gmail.com Verifier si tu la recu en juin svp
Assigned to maryse.cyr@gmail.com</x18tc:text>
    <x18tc:mentions>
      <x18tc:mention mentionpersonId="{bab21c2d-09d1-48ab-869b-bd6f3d1140dd}" mentionId="{5690f1e1-bd44-402b-8c48-fbf63f5564fa}" startIndex="0" length="21"/>
    </x18tc:mentions>
  </x18tc:threadedComment>
  <x18tc:threadedComment ref="K62" dT="2024-06-07T20:22:21.00" personId="{894dbd31-98b8-4b0b-b3f8-ec158f1ce10d}" id="{f15ab2cb-74a1-4bd6-95e2-e83a36ee7e16}" done="0">
    <x18tc:text xml:space="preserve">Impots</x18tc:text>
  </x18tc:threadedComment>
  <x18tc:threadedComment ref="K59" dT="2024-06-07T20:27:14.00" personId="{894dbd31-98b8-4b0b-b3f8-ec158f1ce10d}" id="{c5579854-6781-4ba7-8f7e-cf882ccf2d53}" done="0">
    <x18tc:text xml:space="preserve">jeu gonflable + cadeau fete rik spectacle</x18tc:text>
  </x18tc:threadedComment>
  <x18tc:threadedComment ref="E26" dT="2024-03-21T13:11:41.00" personId="{894dbd31-98b8-4b0b-b3f8-ec158f1ce10d}" id="{9ffadb17-541e-4238-9a4f-9d618df93502}" done="0">
    <x18tc:text xml:space="preserve">Parebrise + Panne Huile Mazda</x18tc:text>
  </x18tc:threadedComment>
  <x18tc:threadedComment ref="E52" dT="2024-03-21T13:12:19.00" personId="{894dbd31-98b8-4b0b-b3f8-ec158f1ce10d}" id="{153b0181-e4ed-43a3-9a16-becde443e8c0}" done="0">
    <x18tc:text xml:space="preserve">RDV Urgence Eric</x18tc:text>
  </x18tc:threadedComment>
  <x18tc:threadedComment ref="G52" dT="2024-03-21T13:12:05.00" personId="{894dbd31-98b8-4b0b-b3f8-ec158f1ce10d}" id="{8ed03c18-23d5-491b-aa3c-8215b64b43c1}" done="0">
    <x18tc:text xml:space="preserve">Traitement Canal Eric + Nettoyage Maryse + Réparation Maryse</x18tc:text>
  </x18tc:threadedComment>
  <x18tc:threadedComment ref="H57" dT="2024-04-03T21:49:06.00" personId="{894dbd31-98b8-4b0b-b3f8-ec158f1ce10d}" id="{3d8cd6e1-8d64-4662-afab-02188b51f895}" done="0">
    <x18tc:text xml:space="preserve">Court Secretariat Maryse</x18tc:text>
  </x18tc:threadedComment>
  <x18tc:threadedComment ref="H57" dT="2024-05-29T23:38:29.00" personId="{894dbd31-98b8-4b0b-b3f8-ec158f1ce10d}" id="{bdf20d76-05ff-4d7a-b819-005edb7af84d}" parentId="{3d8cd6e1-8d64-4662-afab-02188b51f895}">
    <x18tc:text xml:space="preserve">colle a moi William</x18tc:text>
  </x18tc:threadedComment>
  <x18tc:threadedComment ref="D57" dT="2024-03-21T13:12:58.00" personId="{894dbd31-98b8-4b0b-b3f8-ec158f1ce10d}" id="{35a6f929-2557-4763-b2b4-9657b6d65fb0}" done="0">
    <x18tc:text xml:space="preserve">Cours Secretariat Maryse</x18tc:text>
  </x18tc:threadedComment>
  <x18tc:threadedComment ref="G60" dT="2024-04-03T21:45:57.00" personId="{894dbd31-98b8-4b0b-b3f8-ec158f1ce10d}" id="{5625576c-baed-4afc-811a-7292575371e3}" done="0">
    <x18tc:text xml:space="preserve">Encre Imprimante (2x) + Amazon + Dollo + Amazon + Salon VR</x18tc:text>
  </x18tc:threadedComment>
  <x18tc:threadedComment ref="K38" dT="2024-06-07T20:29:33.00" personId="{894dbd31-98b8-4b0b-b3f8-ec158f1ce10d}" id="{75db516d-e378-4f1e-8f39-16b8c4f088a9}" done="0">
    <x18tc:text xml:space="preserve">120$ fete des mere....</x18tc:text>
  </x18tc:threadedComment>
  <x18tc:threadedComment ref="F57" dT="2024-03-21T13:12:51.00" personId="{894dbd31-98b8-4b0b-b3f8-ec158f1ce10d}" id="{f6c7fe5a-6939-428e-8d38-2ba9c04c63c1}" done="0">
    <x18tc:text xml:space="preserve">Cours Secretariat Maryse</x18tc:text>
  </x18tc:threadedComment>
  <x18tc:threadedComment ref="H26" dT="2024-04-03T21:22:08.00" personId="{894dbd31-98b8-4b0b-b3f8-ec158f1ce10d}" id="{6ef4b585-1473-4d8f-a95b-dc8591efb618}" done="0">
    <x18tc:text xml:space="preserve">changement d'huile + changment pneu Jeep</x18tc:text>
  </x18tc:threadedComment>
  <x18tc:threadedComment ref="K60" dT="2024-06-07T20:29:55.00" personId="{894dbd31-98b8-4b0b-b3f8-ec158f1ce10d}" id="{1a3d85a8-2bee-45e1-aceb-d7e547316ece}" done="0">
    <x18tc:text xml:space="preserve">cadeau et achat amazon offset par le compte gaterie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29" dT="2020-01-12T16:58:19.00" personId="{894dbd31-98b8-4b0b-b3f8-ec158f1ce10d}" id="{5fbae8b8-043a-4105-ae96-49d3927b6b72}" done="1">
    <x18tc:text xml:space="preserve">Parking Hopital</x18tc:text>
  </x18tc:threadedComment>
  <x18tc:threadedComment ref="P7" dT="2020-03-08T19:33:34.00" personId="{894dbd31-98b8-4b0b-b3f8-ec158f1ce10d}" id="{cfcb3612-fcfb-4d43-b685-3f310e944b16}" done="1">
    <x18tc:text xml:space="preserve">Bonus Beehivr</x18tc:text>
  </x18tc:threadedComment>
  <x18tc:threadedComment ref="J30" dT="2020-01-12T17:09:25.00" personId="{894dbd31-98b8-4b0b-b3f8-ec158f1ce10d}" id="{79b802db-1a44-4216-ac24-b4f78f690dc1}" done="1">
    <x18tc:text xml:space="preserve">shopping</x18tc:text>
  </x18tc:threadedComment>
  <x18tc:threadedComment ref="D30" dT="2019-11-23T20:16:32.00" personId="{894dbd31-98b8-4b0b-b3f8-ec158f1ce10d}" id="{d08427b7-4bc2-45ec-b097-fe32f33263be}" done="1">
    <x18tc:text xml:space="preserve">Osteo</x18tc:text>
  </x18tc:threadedComment>
  <x18tc:threadedComment ref="D29" dT="2019-11-23T20:17:17.00" personId="{894dbd31-98b8-4b0b-b3f8-ec158f1ce10d}" id="{859715ce-1d75-4ca8-9898-f53fbb752072}" done="1">
    <x18tc:text xml:space="preserve">Entertainment + Shopping</x18tc:text>
  </x18tc:threadedComment>
  <x18tc:threadedComment ref="P14" dT="2020-03-08T19:44:46.00" personId="{894dbd31-98b8-4b0b-b3f8-ec158f1ce10d}" id="{3af068b8-6c2b-4725-a621-3d71f619fe24}" done="1">
    <x18tc:text xml:space="preserve">Remboursement Balance</x18tc:text>
  </x18tc:threadedComment>
  <x18tc:threadedComment ref="G7" dT="2019-11-23T21:08:53.00" personId="{894dbd31-98b8-4b0b-b3f8-ec158f1ce10d}" id="{05b1458a-2e8f-4998-82f4-766f8840e08d}" done="1">
    <x18tc:text xml:space="preserve">Bonus Beehivr</x18tc:text>
  </x18tc:threadedComment>
  <x18tc:threadedComment ref="G7" dT="2019-12-01T17:00:19.00" personId="{894dbd31-98b8-4b0b-b3f8-ec158f1ce10d}" id="{4499c3df-38b1-4672-97a9-b16e959509b8}" parentId="{05b1458a-2e8f-4998-82f4-766f8840e08d}">
    <x18tc:text xml:space="preserve">+ pret dumesnilt</x18tc:text>
  </x18tc:threadedComment>
  <x18tc:threadedComment ref="G7" dT="2019-12-01T17:28:46.00" personId="{894dbd31-98b8-4b0b-b3f8-ec158f1ce10d}" id="{0eb0a150-c1c9-4e0b-ac7a-09db3e92a86f}" parentId="{05b1458a-2e8f-4998-82f4-766f8840e08d}">
    <x18tc:text xml:space="preserve">+ changement argent US</x18tc:text>
  </x18tc:threadedComment>
  <x18tc:threadedComment ref="M31" dT="2020-02-02T18:07:34.00" personId="{894dbd31-98b8-4b0b-b3f8-ec158f1ce10d}" id="{2acff2ea-61bc-43cc-918e-58f64ee7c76e}" done="1">
    <x18tc:text xml:space="preserve">Chvx Eric + Osteo Maryse Alexa</x18tc:text>
  </x18tc:threadedComment>
  <x18tc:threadedComment ref="K13" dT="2020-01-12T16:46:01.00" personId="{894dbd31-98b8-4b0b-b3f8-ec158f1ce10d}" id="{af9a41fd-6451-45d6-980f-c924bd500ace}" done="1">
    <x18tc:text xml:space="preserve">21$ (+tx) pour les frais US (Baltimore)</x18tc:text>
  </x18tc:threadedComment>
  <x18tc:threadedComment ref="G30" dT="2019-12-01T17:03:25.00" personId="{894dbd31-98b8-4b0b-b3f8-ec158f1ce10d}" id="{4ff6100e-f94e-4f2b-b7d2-24a03b5f266e}" done="1">
    <x18tc:text xml:space="preserve">Cheveux Eric</x18tc:text>
  </x18tc:threadedComment>
  <x18tc:threadedComment ref="P19" dT="2020-03-08T19:57:13.00" personId="{894dbd31-98b8-4b0b-b3f8-ec158f1ce10d}" id="{14049371-511b-4266-81cf-14cfca80cca8}" done="1">
    <x18tc:text xml:space="preserve">plaque Jeep</x18tc:text>
  </x18tc:threadedComment>
  <x18tc:threadedComment ref="G31" dT="2019-12-01T17:09:16.00" personId="{894dbd31-98b8-4b0b-b3f8-ec158f1ce10d}" id="{f6b46a7a-1a4d-4717-a37d-7bd6832bfaf1}" done="1">
    <x18tc:text xml:space="preserve">CLothing</x18tc:text>
  </x18tc:threadedComment>
  <x18tc:threadedComment ref="G31" dT="2019-12-01T17:16:42.00" personId="{894dbd31-98b8-4b0b-b3f8-ec158f1ce10d}" id="{85784af7-a041-48c5-b6c6-007d8c7a9964}" parentId="{f6b46a7a-1a4d-4717-a37d-7bd6832bfaf1}">
    <x18tc:text xml:space="preserve">Ardene + Children Palace + Village Valeur</x18tc:text>
  </x18tc:threadedComment>
  <x18tc:threadedComment ref="M7" dT="2020-02-02T18:17:29.00" personId="{894dbd31-98b8-4b0b-b3f8-ec158f1ce10d}" id="{84b37d2a-8b2c-4130-bfb1-c98da41a739a}" done="1">
    <x18tc:text xml:space="preserve">Argent Fete Eric</x18tc:text>
  </x18tc:threadedComment>
  <x18tc:threadedComment ref="G29" dT="2019-12-01T17:03:07.00" personId="{894dbd31-98b8-4b0b-b3f8-ec158f1ce10d}" id="{3f7b5e2c-aa0e-46e2-8ffb-cbc7adc3078c}" done="1">
    <x18tc:text xml:space="preserve">Hotel</x18tc:text>
  </x18tc:threadedComment>
  <x18tc:threadedComment ref="G32" dT="2019-12-01T17:09:52.00" personId="{894dbd31-98b8-4b0b-b3f8-ec158f1ce10d}" id="{ba2f787a-4c0e-41cd-891c-c49772beb4a8}" done="1">
    <x18tc:text xml:space="preserve">Walmart + Dollorama</x18tc:text>
  </x18tc:threadedComment>
  <x18tc:threadedComment ref="G33" dT="2019-12-01T17:23:25.00" personId="{894dbd31-98b8-4b0b-b3f8-ec158f1ce10d}" id="{a34bfb39-5e5d-4713-8cd4-caf1c72de28b}" done="1">
    <x18tc:text xml:space="preserve">Changement Pneus + Service &amp; Parts</x18tc:text>
  </x18tc:threadedComment>
  <x18tc:threadedComment ref="M30" dT="2020-02-02T18:05:13.00" personId="{894dbd31-98b8-4b0b-b3f8-ec158f1ce10d}" id="{2bc43645-4bcc-4649-8c40-090fabb5f7f6}" done="1">
    <x18tc:text xml:space="preserve">Shopping</x18tc:text>
  </x18tc:threadedComment>
  <x18tc:threadedComment ref="M29" dT="2020-02-02T18:03:40.00" personId="{894dbd31-98b8-4b0b-b3f8-ec158f1ce10d}" id="{940d9ec9-929f-45e4-8822-ff1014d133f6}" done="1">
    <x18tc:text xml:space="preserve">Permis</x18tc:text>
  </x18tc:threadedComment>
  <x18tc:threadedComment ref="P31" dT="2020-03-08T19:53:13.00" personId="{894dbd31-98b8-4b0b-b3f8-ec158f1ce10d}" id="{39fea89b-422a-41a6-864f-a8e9d56ddc21}" done="1">
    <x18tc:text xml:space="preserve">Lave-vitre</x18tc:text>
  </x18tc:threadedComment>
  <x18tc:threadedComment ref="P32" dT="2020-03-08T19:53:27.00" personId="{894dbd31-98b8-4b0b-b3f8-ec158f1ce10d}" id="{d1f44074-0023-445a-bca2-b728da8b9562}" done="1">
    <x18tc:text xml:space="preserve">Jeu</x18tc:text>
  </x18tc:threadedComment>
  <x18tc:threadedComment ref="J7" dT="2019-12-01T18:06:09.00" personId="{894dbd31-98b8-4b0b-b3f8-ec158f1ce10d}" id="{1d9217ef-ce44-4aa9-90e9-f208bf483040}" done="1">
    <x18tc:text xml:space="preserve">assurance emploi Kiwi (985) + bonus Beehivr (476)</x18tc:text>
  </x18tc:threadedComment>
  <x18tc:threadedComment ref="P30" dT="2020-03-08T19:52:42.00" personId="{894dbd31-98b8-4b0b-b3f8-ec158f1ce10d}" id="{97180f52-72fc-4fc3-8cc4-7537fee8c68f}" done="1">
    <x18tc:text xml:space="preserve">Chvx Alexa + Orthotherapie Eric</x18tc:text>
  </x18tc:threadedComment>
  <x18tc:threadedComment ref="M32" dT="2020-02-02T18:19:18.00" personId="{894dbd31-98b8-4b0b-b3f8-ec158f1ce10d}" id="{03c88abc-4991-4d05-9f8a-7e7f5266932c}" done="1">
    <x18tc:text xml:space="preserve">Witcher + Igloofest + CY + Nintendo</x18tc:text>
  </x18tc:threadedComment>
  <x18tc:threadedComment ref="J31" dT="2020-01-12T17:09:58.00" personId="{894dbd31-98b8-4b0b-b3f8-ec158f1ce10d}" id="{61429b25-a27c-4d75-8e00-f3c9cb482605}" done="1">
    <x18tc:text xml:space="preserve">Cadeaux</x18tc:text>
  </x18tc:threadedComment>
  <x18tc:threadedComment ref="P33" dT="2020-03-08T19:53:53.00" personId="{894dbd31-98b8-4b0b-b3f8-ec158f1ce10d}" id="{58e01e2d-3fa4-4efa-aedf-ca9f5658f5ad}" done="1">
    <x18tc:text xml:space="preserve">Trucs Maison</x18tc:text>
  </x18tc:threadedComment>
  <x18tc:threadedComment ref="J32" dT="2020-01-12T17:11:15.00" personId="{894dbd31-98b8-4b0b-b3f8-ec158f1ce10d}" id="{2de9dbda-c2ae-4fbf-af03-68c0ddaab27c}" done="1">
    <x18tc:text xml:space="preserve">Vernis pour mini chef</x18tc:text>
  </x18tc:threadedComment>
  <x18tc:threadedComment ref="P29" dT="2020-03-08T19:54:16.00" personId="{894dbd31-98b8-4b0b-b3f8-ec158f1ce10d}" id="{5755c541-9814-453e-b0b6-972da6be4ee4}" done="1">
    <x18tc:text xml:space="preserve">Dollo (St-val) + Dollo (autre) + Vdv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1" dT="2023-02-24T22:52:18.00" personId="{894dbd31-98b8-4b0b-b3f8-ec158f1ce10d}" id="{0a10cbe3-c5ce-4d9c-b161-5ca609e16a0a}" done="0">
    <x18tc:text xml:space="preserve">Permis Rik</x18tc:text>
  </x18tc:threadedComment>
  <x18tc:threadedComment ref="F21" dT="2023-02-24T22:52:29.00" personId="{894dbd31-98b8-4b0b-b3f8-ec158f1ce10d}" id="{518ff136-516b-4373-9aae-f77c017ec2a1}" done="0">
    <x18tc:text xml:space="preserve">Plaques Mazda</x18tc:text>
  </x18tc:threadedComment>
  <x18tc:threadedComment ref="F24" dT="2023-02-24T22:51:35.00" personId="{894dbd31-98b8-4b0b-b3f8-ec158f1ce10d}" id="{7276d738-4971-417b-b202-472cb0bdce38}" done="0">
    <x18tc:text xml:space="preserve">Frein Mazda</x18tc:text>
  </x18tc:threadedComment>
  <x18tc:threadedComment ref="C21" dT="2023-02-24T22:52:07.00" personId="{894dbd31-98b8-4b0b-b3f8-ec158f1ce10d}" id="{e90a9bf3-ce9d-4bd0-adf3-e6f9ed6c390e}" done="0">
    <x18tc:text xml:space="preserve">Plaques Jeep</x18tc:text>
  </x18tc:threadedComment>
  <x18tc:threadedComment ref="I24" dT="2023-08-31T14:25:58.00" personId="{894dbd31-98b8-4b0b-b3f8-ec158f1ce10d}" id="{832a809f-bdbb-476d-8cef-01acefac9714}" done="0">
    <x18tc:text xml:space="preserve">freins Jeep avant</x18tc:text>
  </x18tc:threadedComment>
  <x18tc:threadedComment ref="H24" dT="2023-08-31T14:26:14.00" personId="{894dbd31-98b8-4b0b-b3f8-ec158f1ce10d}" id="{041f7768-0d94-472c-b92d-07ca3e88f395}" done="0">
    <x18tc:text xml:space="preserve">solenoide Jeep transfer case</x18tc:text>
  </x18tc:threadedComment>
  <x18tc:threadedComment ref="H21" dT="2023-02-24T22:52:36.00" personId="{894dbd31-98b8-4b0b-b3f8-ec158f1ce10d}" id="{f9e595c2-cf79-4378-aaa6-8547112483ab}" done="0">
    <x18tc:text xml:space="preserve">Permis Maryse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1.22" defaultRowHeight="15.75"/>
  <cols>
    <col customWidth="1" min="1" max="1" width="3.0"/>
    <col customWidth="1" min="2" max="2" width="16.44"/>
    <col customWidth="1" min="4" max="4" width="3.56"/>
    <col customWidth="1" min="5" max="5" width="2.89"/>
    <col customWidth="1" min="6" max="6" width="16.33"/>
    <col customWidth="1" min="7" max="7" width="18.11"/>
    <col customWidth="1" min="8" max="8" width="3.78"/>
    <col customWidth="1" min="9" max="9" width="3.0"/>
    <col customWidth="1" min="10" max="10" width="16.78"/>
    <col customWidth="1" min="11" max="11" width="9.67"/>
    <col customWidth="1" min="12" max="12" width="3.11"/>
  </cols>
  <sheetData>
    <row r="2">
      <c r="A2" s="1" t="s">
        <v>0</v>
      </c>
      <c r="B2" s="2"/>
      <c r="C2" s="3"/>
    </row>
    <row r="3" ht="1.5" customHeight="1">
      <c r="A3" s="4"/>
      <c r="B3" s="4"/>
      <c r="C3" s="4"/>
      <c r="F3" s="5"/>
      <c r="G3" s="6"/>
      <c r="H3" s="7"/>
      <c r="I3" s="8" t="s">
        <v>1</v>
      </c>
    </row>
    <row r="4">
      <c r="F4" s="9" t="s">
        <v>2</v>
      </c>
      <c r="G4" s="10">
        <f>SUM(C5:C8)</f>
        <v>6096.32</v>
      </c>
    </row>
    <row r="5">
      <c r="A5" s="2" t="s">
        <v>3</v>
      </c>
      <c r="B5" s="2"/>
      <c r="C5" s="2">
        <v>3673.32</v>
      </c>
      <c r="F5" s="11"/>
      <c r="G5" s="12"/>
      <c r="I5" s="13"/>
    </row>
    <row r="6">
      <c r="A6" s="2" t="s">
        <v>4</v>
      </c>
      <c r="B6" s="2"/>
      <c r="C6" s="2">
        <v>2123.0</v>
      </c>
      <c r="F6" s="14" t="s">
        <v>5</v>
      </c>
      <c r="G6" s="15">
        <f>SUM(C13+C17+C22+K13+K15+O15+G13+G16+G23+G25+G27+O13+O17+O19+O21+K17+K19)</f>
        <v>3828.46</v>
      </c>
    </row>
    <row r="7">
      <c r="C7" s="16"/>
      <c r="G7" s="12"/>
    </row>
    <row r="8">
      <c r="A8" s="2" t="s">
        <v>6</v>
      </c>
      <c r="B8" s="2"/>
      <c r="C8" s="2">
        <v>300.0</v>
      </c>
      <c r="F8" s="17" t="s">
        <v>7</v>
      </c>
      <c r="G8" s="18">
        <f>SUM(G4-G6)</f>
        <v>2267.86</v>
      </c>
    </row>
    <row r="10">
      <c r="A10" s="19" t="s">
        <v>8</v>
      </c>
      <c r="I10" s="13"/>
      <c r="K10" s="20"/>
    </row>
    <row r="11" ht="1.5" customHeight="1">
      <c r="A11" s="21"/>
      <c r="B11" s="22"/>
      <c r="C11" s="22"/>
      <c r="D11" s="22"/>
      <c r="E11" s="22"/>
      <c r="F11" s="22"/>
      <c r="G11" s="22"/>
    </row>
    <row r="12">
      <c r="A12" s="20"/>
    </row>
    <row r="13">
      <c r="A13" s="23" t="s">
        <v>9</v>
      </c>
      <c r="B13" s="24"/>
      <c r="C13" s="24">
        <f>SUM(C14:C15)</f>
        <v>1043.33</v>
      </c>
      <c r="E13" s="23" t="s">
        <v>10</v>
      </c>
      <c r="F13" s="24"/>
      <c r="G13" s="23">
        <f>SUM(G14:G15)</f>
        <v>118.01</v>
      </c>
      <c r="I13" s="23" t="s">
        <v>11</v>
      </c>
      <c r="J13" s="24"/>
      <c r="K13" s="23">
        <v>175.23</v>
      </c>
      <c r="M13" s="23" t="s">
        <v>12</v>
      </c>
      <c r="N13" s="24"/>
      <c r="O13" s="23">
        <v>50.0</v>
      </c>
    </row>
    <row r="14">
      <c r="B14" s="2" t="s">
        <v>13</v>
      </c>
      <c r="C14" s="2">
        <v>940.0</v>
      </c>
      <c r="F14" s="2" t="s">
        <v>14</v>
      </c>
      <c r="G14" s="2">
        <v>118.01</v>
      </c>
    </row>
    <row r="15">
      <c r="B15" s="2" t="s">
        <v>15</v>
      </c>
      <c r="C15" s="2">
        <v>103.33</v>
      </c>
      <c r="I15" s="23" t="s">
        <v>16</v>
      </c>
      <c r="J15" s="24"/>
      <c r="K15" s="23">
        <v>62.64</v>
      </c>
      <c r="M15" s="23" t="s">
        <v>17</v>
      </c>
      <c r="N15" s="24"/>
      <c r="O15" s="23">
        <v>31.02</v>
      </c>
    </row>
    <row r="16">
      <c r="E16" s="23" t="s">
        <v>18</v>
      </c>
      <c r="F16" s="24"/>
      <c r="G16" s="23">
        <f>SUM(G17:G21)</f>
        <v>67.79</v>
      </c>
    </row>
    <row r="17">
      <c r="A17" s="23" t="s">
        <v>19</v>
      </c>
      <c r="B17" s="24"/>
      <c r="C17" s="23">
        <f>SUM(C18:C20)</f>
        <v>181.1</v>
      </c>
      <c r="F17" s="2" t="s">
        <v>20</v>
      </c>
      <c r="G17" s="2">
        <v>18.38</v>
      </c>
      <c r="I17" s="23" t="s">
        <v>21</v>
      </c>
      <c r="J17" s="24"/>
      <c r="K17" s="23">
        <v>200.0</v>
      </c>
      <c r="M17" s="25" t="s">
        <v>22</v>
      </c>
      <c r="N17" s="26"/>
      <c r="O17" s="27">
        <v>25.0</v>
      </c>
    </row>
    <row r="18">
      <c r="B18" s="2" t="s">
        <v>23</v>
      </c>
      <c r="C18" s="28">
        <v>35.6</v>
      </c>
      <c r="F18" s="2" t="s">
        <v>24</v>
      </c>
      <c r="G18" s="2">
        <v>17.23</v>
      </c>
    </row>
    <row r="19">
      <c r="B19" s="2" t="s">
        <v>25</v>
      </c>
      <c r="C19" s="28">
        <v>135.89</v>
      </c>
      <c r="F19" s="2" t="s">
        <v>26</v>
      </c>
      <c r="G19" s="2">
        <v>3.21</v>
      </c>
      <c r="I19" s="23" t="s">
        <v>27</v>
      </c>
      <c r="J19" s="23"/>
      <c r="K19" s="23">
        <v>30.0</v>
      </c>
      <c r="M19" s="25" t="s">
        <v>28</v>
      </c>
      <c r="N19" s="26"/>
      <c r="O19" s="27">
        <v>170.0</v>
      </c>
    </row>
    <row r="20">
      <c r="B20" s="2" t="s">
        <v>29</v>
      </c>
      <c r="C20" s="2">
        <v>9.61</v>
      </c>
      <c r="F20" s="2" t="s">
        <v>30</v>
      </c>
      <c r="G20" s="2">
        <v>9.44</v>
      </c>
    </row>
    <row r="21">
      <c r="F21" s="2" t="s">
        <v>31</v>
      </c>
      <c r="G21" s="2">
        <v>19.53</v>
      </c>
      <c r="I21" s="23" t="s">
        <v>32</v>
      </c>
      <c r="J21" s="23" t="s">
        <v>33</v>
      </c>
      <c r="K21" s="23">
        <v>30.0</v>
      </c>
      <c r="M21" s="25" t="s">
        <v>34</v>
      </c>
      <c r="N21" s="26"/>
      <c r="O21" s="27">
        <v>100.0</v>
      </c>
    </row>
    <row r="22">
      <c r="A22" s="23" t="s">
        <v>35</v>
      </c>
      <c r="B22" s="24"/>
      <c r="C22" s="24">
        <f>SUM(C23:C26)</f>
        <v>874.34</v>
      </c>
    </row>
    <row r="23">
      <c r="B23" s="2" t="s">
        <v>36</v>
      </c>
      <c r="C23" s="2">
        <v>429.34</v>
      </c>
      <c r="E23" s="23" t="s">
        <v>37</v>
      </c>
      <c r="F23" s="24"/>
      <c r="G23" s="23">
        <v>40.0</v>
      </c>
    </row>
    <row r="24">
      <c r="B24" s="2" t="s">
        <v>38</v>
      </c>
      <c r="C24" s="29">
        <v>400.0</v>
      </c>
    </row>
    <row r="25">
      <c r="B25" s="2" t="s">
        <v>39</v>
      </c>
      <c r="C25" s="2">
        <v>30.0</v>
      </c>
      <c r="E25" s="23" t="s">
        <v>40</v>
      </c>
      <c r="F25" s="24"/>
      <c r="G25" s="23">
        <v>600.0</v>
      </c>
    </row>
    <row r="26">
      <c r="B26" s="2" t="s">
        <v>41</v>
      </c>
      <c r="C26" s="2">
        <v>15.0</v>
      </c>
    </row>
    <row r="27">
      <c r="E27" s="23" t="s">
        <v>42</v>
      </c>
      <c r="F27" s="24"/>
      <c r="G27" s="23">
        <f>SUM(G28:G29)</f>
        <v>60</v>
      </c>
    </row>
    <row r="28">
      <c r="F28" s="2" t="s">
        <v>43</v>
      </c>
      <c r="G28" s="2">
        <v>40.0</v>
      </c>
    </row>
    <row r="29">
      <c r="F29" s="2" t="s">
        <v>44</v>
      </c>
      <c r="G29" s="2">
        <v>20.0</v>
      </c>
    </row>
  </sheetData>
  <conditionalFormatting sqref="G8">
    <cfRule type="cellIs" dxfId="0" priority="1" operator="lessThan">
      <formula>0</formula>
    </cfRule>
  </conditionalFormatting>
  <conditionalFormatting sqref="G8">
    <cfRule type="cellIs" dxfId="1" priority="2" operator="greaterThan">
      <formula>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1.22" defaultRowHeight="15.75"/>
  <cols>
    <col customWidth="1" min="1" max="1" width="3.0"/>
    <col customWidth="1" min="2" max="2" width="17.44"/>
    <col customWidth="1" min="3" max="3" width="9.78"/>
    <col customWidth="1" min="4" max="4" width="3.56"/>
    <col customWidth="1" min="5" max="5" width="2.89"/>
    <col customWidth="1" min="6" max="6" width="22.67"/>
    <col customWidth="1" min="7" max="7" width="11.11"/>
    <col customWidth="1" min="8" max="8" width="3.78"/>
    <col customWidth="1" min="9" max="9" width="20.44"/>
    <col customWidth="1" min="10" max="10" width="4.89"/>
    <col customWidth="1" min="11" max="11" width="9.67"/>
    <col customWidth="1" min="12" max="12" width="3.11"/>
    <col customWidth="1" min="15" max="15" width="17.67"/>
  </cols>
  <sheetData>
    <row r="2">
      <c r="A2" s="1" t="s">
        <v>0</v>
      </c>
      <c r="B2" s="2"/>
      <c r="C2" s="3"/>
    </row>
    <row r="3" ht="1.5" customHeight="1">
      <c r="A3" s="4"/>
      <c r="B3" s="4"/>
      <c r="C3" s="4"/>
      <c r="F3" s="5"/>
      <c r="G3" s="6"/>
      <c r="H3" s="7"/>
      <c r="I3" s="8" t="s">
        <v>1</v>
      </c>
      <c r="J3" s="30"/>
      <c r="K3" s="30"/>
      <c r="L3" s="30"/>
      <c r="M3" s="30"/>
      <c r="N3" s="30"/>
      <c r="O3" s="30"/>
    </row>
    <row r="4">
      <c r="F4" s="9" t="s">
        <v>0</v>
      </c>
      <c r="G4" s="31">
        <f>SUM(C5:C10)</f>
        <v>7735.09</v>
      </c>
      <c r="I4" s="32" t="s">
        <v>45</v>
      </c>
      <c r="J4" s="33"/>
      <c r="K4" s="33"/>
      <c r="L4" s="30"/>
    </row>
    <row r="5">
      <c r="A5" s="2" t="s">
        <v>3</v>
      </c>
      <c r="B5" s="2"/>
      <c r="C5" s="34">
        <f>(951.52*52)/12            </f>
        <v>4123.253333</v>
      </c>
      <c r="F5" s="11"/>
      <c r="G5" s="12"/>
      <c r="I5" s="35"/>
      <c r="J5" s="36"/>
      <c r="K5" s="36"/>
      <c r="L5" s="30"/>
    </row>
    <row r="6">
      <c r="A6" s="2" t="s">
        <v>4</v>
      </c>
      <c r="B6" s="2"/>
      <c r="C6" s="34">
        <f>(611*50)/12</f>
        <v>2545.833333</v>
      </c>
      <c r="F6" s="14" t="s">
        <v>46</v>
      </c>
      <c r="G6" s="37">
        <f>SUM(C15,C20,C26,G15,G21,G24,G26,K15,K17,K19,K22,K24,K26,K28,O17,O19,O15)</f>
        <v>5237.466667</v>
      </c>
      <c r="I6" s="35" t="s">
        <v>47</v>
      </c>
      <c r="J6" s="36"/>
      <c r="K6" s="38">
        <f>G6*3-(K28+K26)</f>
        <v>15400.23</v>
      </c>
      <c r="L6" s="30"/>
    </row>
    <row r="7">
      <c r="C7" s="16"/>
      <c r="G7" s="12"/>
      <c r="I7" s="35" t="s">
        <v>48</v>
      </c>
      <c r="J7" s="36"/>
      <c r="K7" s="36">
        <v>5892.0</v>
      </c>
      <c r="L7" s="30"/>
    </row>
    <row r="8">
      <c r="A8" s="2" t="s">
        <v>49</v>
      </c>
      <c r="B8" s="2"/>
      <c r="C8" s="2">
        <f>((1060.07*3)+1314.07)/12</f>
        <v>374.5233333</v>
      </c>
      <c r="F8" s="17" t="s">
        <v>7</v>
      </c>
      <c r="G8" s="39">
        <f>SUM(G4-G6)</f>
        <v>2497.623333</v>
      </c>
      <c r="I8" s="40" t="s">
        <v>50</v>
      </c>
      <c r="J8" s="36"/>
      <c r="K8" s="41">
        <f>K6-K7</f>
        <v>9508.23</v>
      </c>
      <c r="L8" s="30"/>
    </row>
    <row r="9">
      <c r="A9" s="2" t="s">
        <v>51</v>
      </c>
      <c r="C9" s="2">
        <v>691.48</v>
      </c>
      <c r="I9" s="42"/>
      <c r="J9" s="36"/>
      <c r="K9" s="36"/>
      <c r="L9" s="30"/>
    </row>
    <row r="10">
      <c r="A10" s="43" t="s">
        <v>52</v>
      </c>
      <c r="B10" s="44"/>
      <c r="C10" s="43">
        <v>0.0</v>
      </c>
      <c r="J10" s="30"/>
      <c r="K10" s="30"/>
      <c r="L10" s="30"/>
    </row>
    <row r="11">
      <c r="J11" s="30"/>
      <c r="K11" s="30"/>
      <c r="L11" s="30"/>
      <c r="M11" s="30"/>
      <c r="N11" s="45"/>
      <c r="O11" s="45"/>
      <c r="P11" s="46"/>
      <c r="Q11" s="46"/>
    </row>
    <row r="12">
      <c r="A12" s="19" t="s">
        <v>8</v>
      </c>
      <c r="I12" s="13"/>
      <c r="J12" s="30"/>
      <c r="K12" s="30"/>
      <c r="L12" s="30"/>
      <c r="M12" s="30"/>
      <c r="N12" s="45"/>
      <c r="O12" s="45"/>
      <c r="P12" s="46"/>
      <c r="Q12" s="46"/>
    </row>
    <row r="13" ht="1.5" customHeight="1">
      <c r="A13" s="21"/>
      <c r="B13" s="22"/>
      <c r="C13" s="22"/>
      <c r="D13" s="22"/>
      <c r="E13" s="22"/>
      <c r="F13" s="22"/>
      <c r="G13" s="22"/>
    </row>
    <row r="14">
      <c r="A14" s="20"/>
    </row>
    <row r="15">
      <c r="A15" s="23" t="s">
        <v>9</v>
      </c>
      <c r="B15" s="24"/>
      <c r="C15" s="47">
        <f>SUM(C16:C18)</f>
        <v>2050</v>
      </c>
      <c r="E15" s="23" t="s">
        <v>18</v>
      </c>
      <c r="F15" s="24"/>
      <c r="G15" s="48">
        <f>SUM(G16:G20)</f>
        <v>73.64</v>
      </c>
      <c r="I15" s="23" t="s">
        <v>53</v>
      </c>
      <c r="J15" s="24"/>
      <c r="K15" s="48">
        <f>85.07</f>
        <v>85.07</v>
      </c>
      <c r="M15" s="49" t="s">
        <v>54</v>
      </c>
      <c r="N15" s="50"/>
      <c r="O15" s="51">
        <v>200.0</v>
      </c>
    </row>
    <row r="16">
      <c r="B16" s="2" t="s">
        <v>13</v>
      </c>
      <c r="C16" s="52">
        <v>1680.0</v>
      </c>
      <c r="F16" s="2" t="s">
        <v>20</v>
      </c>
      <c r="G16" s="52">
        <v>24.13</v>
      </c>
      <c r="K16" s="53"/>
    </row>
    <row r="17">
      <c r="B17" s="2" t="s">
        <v>15</v>
      </c>
      <c r="C17" s="52">
        <v>170.0</v>
      </c>
      <c r="F17" s="2" t="s">
        <v>55</v>
      </c>
      <c r="G17" s="52">
        <v>31.02</v>
      </c>
      <c r="I17" s="23" t="s">
        <v>21</v>
      </c>
      <c r="J17" s="23"/>
      <c r="K17" s="48">
        <v>100.0</v>
      </c>
      <c r="M17" s="25" t="s">
        <v>28</v>
      </c>
      <c r="N17" s="26"/>
      <c r="O17" s="54">
        <v>180.0</v>
      </c>
    </row>
    <row r="18">
      <c r="B18" s="2" t="s">
        <v>56</v>
      </c>
      <c r="C18" s="52">
        <v>200.0</v>
      </c>
      <c r="F18" s="2" t="s">
        <v>26</v>
      </c>
      <c r="G18" s="52">
        <v>7.0</v>
      </c>
      <c r="K18" s="53"/>
      <c r="O18" s="53"/>
    </row>
    <row r="19">
      <c r="F19" s="2" t="s">
        <v>30</v>
      </c>
      <c r="G19" s="52">
        <v>11.49</v>
      </c>
      <c r="I19" s="23" t="s">
        <v>27</v>
      </c>
      <c r="J19" s="24"/>
      <c r="K19" s="48">
        <f>30+K20</f>
        <v>205</v>
      </c>
      <c r="M19" s="25" t="s">
        <v>57</v>
      </c>
      <c r="N19" s="26"/>
      <c r="O19" s="54">
        <v>40.0</v>
      </c>
    </row>
    <row r="20">
      <c r="A20" s="23" t="s">
        <v>19</v>
      </c>
      <c r="B20" s="24"/>
      <c r="C20" s="48">
        <f>SUM(C21:C24)</f>
        <v>324.92</v>
      </c>
      <c r="G20" s="55"/>
      <c r="I20" s="2" t="s">
        <v>58</v>
      </c>
      <c r="K20" s="52">
        <v>175.0</v>
      </c>
    </row>
    <row r="21">
      <c r="B21" s="2" t="s">
        <v>59</v>
      </c>
      <c r="C21" s="56">
        <v>80.38</v>
      </c>
      <c r="E21" s="23" t="s">
        <v>37</v>
      </c>
      <c r="F21" s="24"/>
      <c r="G21" s="48">
        <f>G22</f>
        <v>40</v>
      </c>
    </row>
    <row r="22">
      <c r="B22" s="2" t="s">
        <v>60</v>
      </c>
      <c r="C22" s="57">
        <v>98.54</v>
      </c>
      <c r="F22" s="2" t="s">
        <v>61</v>
      </c>
      <c r="G22" s="52">
        <v>40.0</v>
      </c>
      <c r="I22" s="23" t="s">
        <v>32</v>
      </c>
      <c r="J22" s="23"/>
      <c r="K22" s="48">
        <f>50*(52/5)/12
</f>
        <v>43.33333333</v>
      </c>
    </row>
    <row r="23">
      <c r="B23" s="2" t="s">
        <v>29</v>
      </c>
      <c r="C23" s="52">
        <v>12.0</v>
      </c>
      <c r="G23" s="53"/>
      <c r="K23" s="53"/>
    </row>
    <row r="24">
      <c r="B24" s="2" t="s">
        <v>62</v>
      </c>
      <c r="C24" s="52">
        <v>134.0</v>
      </c>
      <c r="E24" s="23" t="s">
        <v>40</v>
      </c>
      <c r="F24" s="24"/>
      <c r="G24" s="48">
        <f>((175*52)/12)+50</f>
        <v>808.3333333</v>
      </c>
      <c r="I24" s="23" t="s">
        <v>12</v>
      </c>
      <c r="J24" s="24"/>
      <c r="K24" s="48">
        <v>80.0</v>
      </c>
    </row>
    <row r="25">
      <c r="C25" s="53"/>
      <c r="G25" s="53"/>
      <c r="K25" s="53"/>
    </row>
    <row r="26">
      <c r="A26" s="23" t="s">
        <v>35</v>
      </c>
      <c r="B26" s="24"/>
      <c r="C26" s="47">
        <f>SUM(C27:C29)</f>
        <v>585</v>
      </c>
      <c r="E26" s="23" t="s">
        <v>42</v>
      </c>
      <c r="F26" s="24"/>
      <c r="G26" s="48">
        <f>SUM(G27:G29)</f>
        <v>110</v>
      </c>
      <c r="I26" s="23" t="s">
        <v>17</v>
      </c>
      <c r="J26" s="24"/>
      <c r="K26" s="48">
        <v>62.17</v>
      </c>
    </row>
    <row r="27">
      <c r="B27" s="2" t="s">
        <v>38</v>
      </c>
      <c r="C27" s="58">
        <v>540.0</v>
      </c>
      <c r="F27" s="2" t="s">
        <v>43</v>
      </c>
      <c r="G27" s="52">
        <v>40.0</v>
      </c>
      <c r="K27" s="53"/>
    </row>
    <row r="28">
      <c r="B28" s="2" t="s">
        <v>39</v>
      </c>
      <c r="C28" s="52">
        <v>30.0</v>
      </c>
      <c r="F28" s="2" t="s">
        <v>44</v>
      </c>
      <c r="G28" s="52">
        <v>20.0</v>
      </c>
      <c r="I28" s="25" t="s">
        <v>22</v>
      </c>
      <c r="J28" s="26"/>
      <c r="K28" s="54">
        <v>250.0</v>
      </c>
    </row>
    <row r="29">
      <c r="B29" s="2" t="s">
        <v>41</v>
      </c>
      <c r="C29" s="52">
        <v>15.0</v>
      </c>
      <c r="F29" s="2" t="s">
        <v>63</v>
      </c>
      <c r="G29" s="2">
        <v>50.0</v>
      </c>
      <c r="K29" s="53"/>
      <c r="O29" s="59"/>
      <c r="P29" s="59"/>
      <c r="Q29" s="59"/>
      <c r="R29" s="59"/>
      <c r="S29" s="59"/>
    </row>
    <row r="35">
      <c r="P35" s="60"/>
      <c r="Q35" s="60"/>
      <c r="R35" s="60"/>
      <c r="S35" s="60"/>
    </row>
    <row r="36">
      <c r="P36" s="60"/>
      <c r="Q36" s="60"/>
      <c r="R36" s="60"/>
      <c r="S36" s="60"/>
    </row>
    <row r="37">
      <c r="P37" s="60"/>
      <c r="Q37" s="60"/>
      <c r="R37" s="60"/>
      <c r="S37" s="60"/>
    </row>
    <row r="38">
      <c r="P38" s="60"/>
      <c r="Q38" s="60"/>
      <c r="R38" s="60"/>
      <c r="S38" s="60"/>
    </row>
    <row r="39">
      <c r="P39" s="60"/>
      <c r="Q39" s="60"/>
      <c r="R39" s="60"/>
      <c r="S39" s="60"/>
    </row>
    <row r="40">
      <c r="P40" s="60"/>
      <c r="Q40" s="60"/>
      <c r="R40" s="60"/>
      <c r="S40" s="60"/>
    </row>
    <row r="41">
      <c r="P41" s="60"/>
      <c r="Q41" s="60"/>
      <c r="R41" s="60"/>
      <c r="S41" s="60"/>
    </row>
    <row r="42">
      <c r="P42" s="60"/>
      <c r="Q42" s="60"/>
      <c r="R42" s="60"/>
      <c r="S42" s="60"/>
    </row>
    <row r="43">
      <c r="P43" s="60"/>
      <c r="Q43" s="60"/>
      <c r="R43" s="60"/>
      <c r="S43" s="60"/>
    </row>
  </sheetData>
  <conditionalFormatting sqref="G8">
    <cfRule type="cellIs" dxfId="0" priority="1" operator="lessThan">
      <formula>0</formula>
    </cfRule>
  </conditionalFormatting>
  <conditionalFormatting sqref="G8">
    <cfRule type="cellIs" dxfId="1" priority="2" operator="greaterThan">
      <formula>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>
    <row r="3">
      <c r="B3" s="61" t="s">
        <v>64</v>
      </c>
      <c r="C3" s="62" t="s">
        <v>65</v>
      </c>
      <c r="D3" s="62" t="s">
        <v>66</v>
      </c>
      <c r="E3" s="62" t="s">
        <v>67</v>
      </c>
      <c r="F3" s="62" t="s">
        <v>68</v>
      </c>
    </row>
    <row r="4">
      <c r="B4" s="59"/>
      <c r="C4" s="59"/>
      <c r="D4" s="59"/>
      <c r="E4" s="59"/>
      <c r="F4" s="63"/>
    </row>
    <row r="5">
      <c r="B5" s="64">
        <v>45323.0</v>
      </c>
      <c r="C5" s="65">
        <f>2075.83+5350.84+1217.01</f>
        <v>8643.68</v>
      </c>
      <c r="D5" s="65">
        <f>1230.19+1129.49+8008.1</f>
        <v>10367.78</v>
      </c>
      <c r="E5" s="65">
        <v>3935.24</v>
      </c>
      <c r="F5" s="66">
        <f t="shared" ref="F5:F10" si="1">SUM(C5:E5)</f>
        <v>22946.7</v>
      </c>
    </row>
    <row r="6">
      <c r="B6" s="67">
        <v>45352.0</v>
      </c>
      <c r="C6" s="65">
        <f>2129.72+3831.56+1230.19</f>
        <v>7191.47</v>
      </c>
      <c r="D6" s="65">
        <f>1230.19+1158.8+8873.45</f>
        <v>11262.44</v>
      </c>
      <c r="E6" s="68">
        <f>3968.23+245.38</f>
        <v>4213.61</v>
      </c>
      <c r="F6" s="66">
        <f t="shared" si="1"/>
        <v>22667.52</v>
      </c>
    </row>
    <row r="7">
      <c r="B7" s="13" t="s">
        <v>69</v>
      </c>
      <c r="C7" s="60">
        <f>2185.73+3701.98+1062.53</f>
        <v>6950.24</v>
      </c>
      <c r="D7" s="65">
        <f>1230.19+1189.27+9642.64</f>
        <v>12062.1</v>
      </c>
      <c r="E7" s="69">
        <f>4128.92+385.75</f>
        <v>4514.67</v>
      </c>
      <c r="F7" s="70">
        <f t="shared" si="1"/>
        <v>23527.01</v>
      </c>
    </row>
    <row r="8">
      <c r="B8" s="71">
        <v>45658.0</v>
      </c>
      <c r="C8" s="45">
        <f>1366+4057+2385</f>
        <v>7808</v>
      </c>
      <c r="D8" s="45">
        <f>1297+1230+14244</f>
        <v>16771</v>
      </c>
      <c r="E8" s="46">
        <f>4464+708</f>
        <v>5172</v>
      </c>
      <c r="F8" s="72">
        <f t="shared" si="1"/>
        <v>29751</v>
      </c>
    </row>
    <row r="9">
      <c r="B9" s="71">
        <v>45778.0</v>
      </c>
      <c r="C9" s="45">
        <f>2238.23+4223.04+1268.71</f>
        <v>7729.98</v>
      </c>
      <c r="D9" s="45">
        <f>2341.88+15879.14</f>
        <v>18221.02</v>
      </c>
      <c r="E9" s="46">
        <f>4642.03+850.43</f>
        <v>5492.46</v>
      </c>
      <c r="F9" s="72">
        <f t="shared" si="1"/>
        <v>31443.46</v>
      </c>
    </row>
    <row r="10">
      <c r="B10" s="13" t="s">
        <v>70</v>
      </c>
      <c r="C10" s="60">
        <f>2629.18+679.02+972.33+5006.52</f>
        <v>9287.05</v>
      </c>
      <c r="D10" s="60">
        <f>2748.88+18207.32</f>
        <v>20956.2</v>
      </c>
      <c r="E10" s="60">
        <f>1159.82+4890.61</f>
        <v>6050.43</v>
      </c>
      <c r="F10" s="70">
        <f t="shared" si="1"/>
        <v>36293.68</v>
      </c>
    </row>
    <row r="11">
      <c r="C11" s="60"/>
      <c r="D11" s="60"/>
      <c r="E11" s="60"/>
      <c r="F11" s="70"/>
    </row>
    <row r="12">
      <c r="C12" s="60"/>
      <c r="D12" s="60"/>
      <c r="E12" s="60"/>
      <c r="F12" s="70"/>
    </row>
    <row r="13">
      <c r="C13" s="60"/>
      <c r="D13" s="60"/>
      <c r="E13" s="60"/>
      <c r="F13" s="70"/>
    </row>
    <row r="14">
      <c r="C14" s="60"/>
      <c r="D14" s="60"/>
      <c r="E14" s="60"/>
      <c r="F14" s="70"/>
    </row>
    <row r="15">
      <c r="C15" s="60"/>
      <c r="D15" s="60"/>
      <c r="E15" s="60"/>
      <c r="F15" s="70"/>
    </row>
    <row r="16">
      <c r="C16" s="60"/>
      <c r="D16" s="60"/>
      <c r="E16" s="60"/>
      <c r="F16" s="70"/>
    </row>
    <row r="17">
      <c r="C17" s="60"/>
      <c r="D17" s="60"/>
      <c r="E17" s="60"/>
      <c r="F17" s="70"/>
    </row>
    <row r="18">
      <c r="C18" s="60"/>
      <c r="D18" s="60"/>
      <c r="E18" s="60"/>
      <c r="F18" s="70"/>
    </row>
    <row r="19">
      <c r="C19" s="60"/>
      <c r="D19" s="60"/>
      <c r="E19" s="60"/>
      <c r="F19" s="70"/>
    </row>
    <row r="20">
      <c r="C20" s="60"/>
      <c r="D20" s="60"/>
      <c r="E20" s="60"/>
      <c r="F20" s="70"/>
    </row>
    <row r="21">
      <c r="C21" s="60"/>
      <c r="D21" s="60"/>
      <c r="E21" s="60"/>
      <c r="F21" s="70"/>
    </row>
    <row r="22">
      <c r="C22" s="60"/>
      <c r="D22" s="60"/>
      <c r="E22" s="60"/>
      <c r="F22" s="70"/>
    </row>
    <row r="23">
      <c r="C23" s="60"/>
      <c r="D23" s="60"/>
      <c r="E23" s="60"/>
      <c r="F23" s="70"/>
    </row>
    <row r="24">
      <c r="C24" s="60"/>
      <c r="D24" s="60"/>
      <c r="E24" s="60"/>
      <c r="F24" s="70"/>
    </row>
    <row r="25">
      <c r="C25" s="60"/>
      <c r="D25" s="60"/>
      <c r="E25" s="60"/>
      <c r="F25" s="70"/>
    </row>
    <row r="26">
      <c r="C26" s="60"/>
      <c r="D26" s="60"/>
      <c r="E26" s="60"/>
      <c r="F26" s="7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1.22" defaultRowHeight="15.75"/>
  <cols>
    <col customWidth="1" min="1" max="1" width="18.44"/>
    <col customWidth="1" min="2" max="21" width="11.44"/>
  </cols>
  <sheetData>
    <row r="1" ht="24.75" customHeight="1">
      <c r="A1" s="73">
        <v>2025.0</v>
      </c>
      <c r="B1" s="74" t="s">
        <v>71</v>
      </c>
      <c r="C1" s="75"/>
      <c r="D1" s="76" t="s">
        <v>72</v>
      </c>
      <c r="E1" s="75"/>
      <c r="F1" s="76" t="s">
        <v>73</v>
      </c>
      <c r="G1" s="75"/>
      <c r="H1" s="76" t="s">
        <v>74</v>
      </c>
      <c r="I1" s="75"/>
      <c r="J1" s="76" t="s">
        <v>75</v>
      </c>
      <c r="K1" s="75"/>
      <c r="L1" s="77" t="s">
        <v>76</v>
      </c>
      <c r="M1" s="78"/>
      <c r="N1" s="79" t="s">
        <v>77</v>
      </c>
      <c r="O1" s="80"/>
      <c r="P1" s="81" t="s">
        <v>78</v>
      </c>
      <c r="Q1" s="75"/>
      <c r="R1" s="82" t="s">
        <v>79</v>
      </c>
      <c r="S1" s="82" t="s">
        <v>80</v>
      </c>
      <c r="T1" s="82" t="s">
        <v>81</v>
      </c>
      <c r="U1" s="82" t="s">
        <v>82</v>
      </c>
      <c r="W1" s="83" t="s">
        <v>83</v>
      </c>
      <c r="X1" s="84" t="s">
        <v>84</v>
      </c>
      <c r="Y1" s="85"/>
      <c r="Z1" s="85"/>
      <c r="AA1" s="85"/>
      <c r="AB1" s="85"/>
      <c r="AC1" s="85"/>
      <c r="AD1" s="85"/>
    </row>
    <row r="2" ht="24.0" customHeight="1">
      <c r="A2" s="73"/>
      <c r="B2" s="76" t="s">
        <v>85</v>
      </c>
      <c r="C2" s="86" t="s">
        <v>86</v>
      </c>
      <c r="D2" s="76" t="s">
        <v>85</v>
      </c>
      <c r="E2" s="86" t="s">
        <v>86</v>
      </c>
      <c r="F2" s="81" t="s">
        <v>85</v>
      </c>
      <c r="G2" s="87" t="s">
        <v>86</v>
      </c>
      <c r="H2" s="76" t="s">
        <v>85</v>
      </c>
      <c r="I2" s="87" t="s">
        <v>86</v>
      </c>
      <c r="J2" s="76" t="s">
        <v>85</v>
      </c>
      <c r="K2" s="87" t="s">
        <v>86</v>
      </c>
      <c r="L2" s="76" t="s">
        <v>85</v>
      </c>
      <c r="M2" s="87" t="s">
        <v>86</v>
      </c>
      <c r="N2" s="79" t="s">
        <v>85</v>
      </c>
      <c r="O2" s="88" t="s">
        <v>86</v>
      </c>
      <c r="P2" s="81" t="s">
        <v>85</v>
      </c>
      <c r="Q2" s="86" t="s">
        <v>86</v>
      </c>
      <c r="R2" s="81"/>
      <c r="S2" s="81"/>
      <c r="T2" s="81"/>
      <c r="U2" s="81"/>
      <c r="W2" s="83"/>
      <c r="X2" s="89"/>
      <c r="Y2" s="13"/>
      <c r="Z2" s="13"/>
      <c r="AA2" s="13"/>
      <c r="AB2" s="13"/>
      <c r="AC2" s="13"/>
      <c r="AD2" s="13"/>
    </row>
    <row r="3">
      <c r="A3" s="52"/>
      <c r="B3" s="90"/>
      <c r="C3" s="90"/>
      <c r="D3" s="90"/>
      <c r="E3" s="90"/>
      <c r="F3" s="90"/>
      <c r="G3" s="90"/>
      <c r="H3" s="90"/>
      <c r="I3" s="90"/>
      <c r="J3" s="91"/>
      <c r="K3" s="90"/>
      <c r="L3" s="91"/>
      <c r="M3" s="90"/>
      <c r="N3" s="92"/>
      <c r="O3" s="93"/>
      <c r="P3" s="90"/>
      <c r="Q3" s="90"/>
      <c r="R3" s="90"/>
      <c r="S3" s="90"/>
      <c r="T3" s="90"/>
      <c r="U3" s="90"/>
      <c r="W3" s="94"/>
      <c r="X3" s="95"/>
      <c r="Y3" s="96"/>
      <c r="Z3" s="96"/>
      <c r="AA3" s="96"/>
      <c r="AB3" s="96"/>
      <c r="AC3" s="96"/>
      <c r="AD3" s="96"/>
    </row>
    <row r="4">
      <c r="A4" s="52" t="s">
        <v>87</v>
      </c>
      <c r="B4" s="97" t="str">
        <f t="shared" ref="B4:U4" si="1">B7-(SUM(B14,B20,B27,B35,B41,B48)
)</f>
        <v>#REF!</v>
      </c>
      <c r="C4" s="98">
        <f t="shared" si="1"/>
        <v>3715.98</v>
      </c>
      <c r="D4" s="97" t="str">
        <f t="shared" si="1"/>
        <v>#REF!</v>
      </c>
      <c r="E4" s="98">
        <f t="shared" si="1"/>
        <v>2662.76</v>
      </c>
      <c r="F4" s="97" t="str">
        <f t="shared" si="1"/>
        <v>#REF!</v>
      </c>
      <c r="G4" s="98">
        <f t="shared" si="1"/>
        <v>-697.58</v>
      </c>
      <c r="H4" s="97" t="str">
        <f t="shared" si="1"/>
        <v>#REF!</v>
      </c>
      <c r="I4" s="98">
        <f t="shared" si="1"/>
        <v>1194.49</v>
      </c>
      <c r="J4" s="97" t="str">
        <f t="shared" si="1"/>
        <v>#REF!</v>
      </c>
      <c r="K4" s="98">
        <f t="shared" si="1"/>
        <v>0</v>
      </c>
      <c r="L4" s="97" t="str">
        <f t="shared" si="1"/>
        <v>#REF!</v>
      </c>
      <c r="M4" s="98">
        <f t="shared" si="1"/>
        <v>0</v>
      </c>
      <c r="N4" s="97">
        <f t="shared" si="1"/>
        <v>3493.693333</v>
      </c>
      <c r="O4" s="98">
        <f t="shared" si="1"/>
        <v>0</v>
      </c>
      <c r="P4" s="97">
        <f t="shared" si="1"/>
        <v>2447.473333</v>
      </c>
      <c r="Q4" s="98">
        <f t="shared" si="1"/>
        <v>0</v>
      </c>
      <c r="R4" s="97">
        <f t="shared" si="1"/>
        <v>2703.853333</v>
      </c>
      <c r="S4" s="97">
        <f t="shared" si="1"/>
        <v>3774.823333</v>
      </c>
      <c r="T4" s="97">
        <f t="shared" si="1"/>
        <v>2703.853333</v>
      </c>
      <c r="U4" s="97">
        <f t="shared" si="1"/>
        <v>2653.853333</v>
      </c>
      <c r="W4" s="94" t="str">
        <f>W7-(SUM(W14,W20,W27,W35,W41,W48)
)</f>
        <v>#REF!</v>
      </c>
      <c r="X4" s="99" t="str">
        <f>SUM(E4,G4,I4,B4, K4, M4,4,Q4,R4,S4,T4,U4)</f>
        <v>#REF!</v>
      </c>
      <c r="Y4" s="96"/>
      <c r="Z4" s="96"/>
      <c r="AA4" s="96"/>
      <c r="AB4" s="96"/>
      <c r="AC4" s="96"/>
      <c r="AD4" s="96"/>
    </row>
    <row r="5">
      <c r="A5" s="52" t="s">
        <v>88</v>
      </c>
      <c r="B5" s="100"/>
      <c r="C5" s="101" t="str">
        <f>C4-B4</f>
        <v>#REF!</v>
      </c>
      <c r="D5" s="101"/>
      <c r="E5" s="101" t="str">
        <f>E4-D4</f>
        <v>#REF!</v>
      </c>
      <c r="F5" s="101"/>
      <c r="G5" s="101" t="str">
        <f>G4-F4</f>
        <v>#REF!</v>
      </c>
      <c r="H5" s="101"/>
      <c r="I5" s="101" t="str">
        <f>I4-H4</f>
        <v>#REF!</v>
      </c>
      <c r="J5" s="101"/>
      <c r="K5" s="101" t="str">
        <f>K4-J4</f>
        <v>#REF!</v>
      </c>
      <c r="L5" s="101"/>
      <c r="M5" s="101" t="str">
        <f>M4-L4</f>
        <v>#REF!</v>
      </c>
      <c r="N5" s="102"/>
      <c r="O5" s="101">
        <f>O4-N4</f>
        <v>-3493.693333</v>
      </c>
      <c r="P5" s="100"/>
      <c r="Q5" s="101">
        <f>Q4-P4</f>
        <v>-2447.473333</v>
      </c>
      <c r="R5" s="101"/>
      <c r="S5" s="101"/>
      <c r="T5" s="101"/>
      <c r="U5" s="103"/>
      <c r="W5" s="104"/>
      <c r="X5" s="101" t="str">
        <f>X4-W4</f>
        <v>#REF!</v>
      </c>
    </row>
    <row r="6">
      <c r="A6" s="52"/>
      <c r="B6" s="100"/>
      <c r="C6" s="101"/>
      <c r="D6" s="101"/>
      <c r="E6" s="101"/>
      <c r="F6" s="101"/>
      <c r="G6" s="101"/>
      <c r="H6" s="101"/>
      <c r="I6" s="103"/>
      <c r="J6" s="101"/>
      <c r="K6" s="103"/>
      <c r="L6" s="101"/>
      <c r="M6" s="103"/>
      <c r="N6" s="102"/>
      <c r="O6" s="105"/>
      <c r="P6" s="100"/>
      <c r="Q6" s="101"/>
      <c r="R6" s="101"/>
      <c r="S6" s="101"/>
      <c r="T6" s="101"/>
      <c r="U6" s="103"/>
      <c r="W6" s="104"/>
      <c r="X6" s="106"/>
    </row>
    <row r="7">
      <c r="A7" s="107" t="s">
        <v>89</v>
      </c>
      <c r="B7" s="108">
        <f t="shared" ref="B7:U7" si="2">SUM(B8:B12)</f>
        <v>9147.576667</v>
      </c>
      <c r="C7" s="109">
        <f t="shared" si="2"/>
        <v>8661.92</v>
      </c>
      <c r="D7" s="108">
        <f t="shared" si="2"/>
        <v>7319.053333</v>
      </c>
      <c r="E7" s="109">
        <f t="shared" si="2"/>
        <v>7590.95</v>
      </c>
      <c r="F7" s="108">
        <f t="shared" si="2"/>
        <v>8076.606667</v>
      </c>
      <c r="G7" s="109">
        <f t="shared" si="2"/>
        <v>7559.13</v>
      </c>
      <c r="H7" s="108">
        <f t="shared" si="2"/>
        <v>9147.576667</v>
      </c>
      <c r="I7" s="109">
        <f t="shared" si="2"/>
        <v>3521.87</v>
      </c>
      <c r="J7" s="108">
        <f t="shared" si="2"/>
        <v>8076.606667</v>
      </c>
      <c r="K7" s="109">
        <f t="shared" si="2"/>
        <v>0</v>
      </c>
      <c r="L7" s="108">
        <f t="shared" si="2"/>
        <v>8076.606667</v>
      </c>
      <c r="M7" s="109">
        <f t="shared" si="2"/>
        <v>0</v>
      </c>
      <c r="N7" s="110">
        <f t="shared" si="2"/>
        <v>9147.576667</v>
      </c>
      <c r="O7" s="109">
        <f t="shared" si="2"/>
        <v>0</v>
      </c>
      <c r="P7" s="108">
        <f t="shared" si="2"/>
        <v>8076.606667</v>
      </c>
      <c r="Q7" s="109">
        <f t="shared" si="2"/>
        <v>0</v>
      </c>
      <c r="R7" s="108">
        <f t="shared" si="2"/>
        <v>7360.566667</v>
      </c>
      <c r="S7" s="108">
        <f t="shared" si="2"/>
        <v>8431.536667</v>
      </c>
      <c r="T7" s="108">
        <f t="shared" si="2"/>
        <v>7360.566667</v>
      </c>
      <c r="U7" s="108">
        <f t="shared" si="2"/>
        <v>7360.566667</v>
      </c>
      <c r="W7" s="111">
        <f>SUM(W8:W11)</f>
        <v>91853.12667</v>
      </c>
      <c r="X7" s="112">
        <f t="shared" ref="X7:X12" si="3">SUM(E7,G7,I7,K7,M7,O7,Q7,R7:U7)</f>
        <v>49185.18667</v>
      </c>
      <c r="Y7" s="55"/>
      <c r="Z7" s="55"/>
      <c r="AA7" s="55"/>
      <c r="AB7" s="55"/>
      <c r="AC7" s="55"/>
      <c r="AD7" s="55"/>
    </row>
    <row r="8">
      <c r="A8" s="113" t="s">
        <v>3</v>
      </c>
      <c r="B8" s="114">
        <f>Mensuel!$C$5</f>
        <v>4123.253333</v>
      </c>
      <c r="C8" s="115">
        <v>3811.84</v>
      </c>
      <c r="D8" s="116">
        <f>Mensuel!$C$5</f>
        <v>4123.253333</v>
      </c>
      <c r="E8" s="115">
        <v>3811.84</v>
      </c>
      <c r="F8" s="116">
        <f>Mensuel!$C$5</f>
        <v>4123.253333</v>
      </c>
      <c r="G8" s="115">
        <v>3811.84</v>
      </c>
      <c r="H8" s="116">
        <f>Mensuel!$C$5</f>
        <v>4123.253333</v>
      </c>
      <c r="I8" s="117"/>
      <c r="J8" s="116">
        <f>Mensuel!$C$5</f>
        <v>4123.253333</v>
      </c>
      <c r="K8" s="117"/>
      <c r="L8" s="116">
        <f>Mensuel!$C$5</f>
        <v>4123.253333</v>
      </c>
      <c r="M8" s="117"/>
      <c r="N8" s="118">
        <f>Mensuel!$C$5</f>
        <v>4123.253333</v>
      </c>
      <c r="O8" s="119"/>
      <c r="P8" s="114">
        <f>Mensuel!$C$5</f>
        <v>4123.253333</v>
      </c>
      <c r="Q8" s="115"/>
      <c r="R8" s="116">
        <f>Mensuel!$C$5</f>
        <v>4123.253333</v>
      </c>
      <c r="S8" s="116">
        <f>Mensuel!$C$5</f>
        <v>4123.253333</v>
      </c>
      <c r="T8" s="116">
        <f>Mensuel!$C$5</f>
        <v>4123.253333</v>
      </c>
      <c r="U8" s="120">
        <f>Mensuel!$C$5</f>
        <v>4123.253333</v>
      </c>
      <c r="W8" s="121">
        <f t="shared" ref="W8:W11" si="4">SUM(B8,D8,F8,H8,J8,L8,N8,P8,R8,S8,T8,U8)</f>
        <v>49479.04</v>
      </c>
      <c r="X8" s="112">
        <f t="shared" si="3"/>
        <v>24116.69333</v>
      </c>
      <c r="Y8" s="55"/>
      <c r="Z8" s="55"/>
      <c r="AA8" s="55"/>
      <c r="AB8" s="55"/>
      <c r="AC8" s="55"/>
      <c r="AD8" s="55"/>
    </row>
    <row r="9">
      <c r="A9" s="113" t="s">
        <v>4</v>
      </c>
      <c r="B9" s="114">
        <f>Mensuel!$C$6</f>
        <v>2545.833333</v>
      </c>
      <c r="C9" s="115">
        <v>2431.25</v>
      </c>
      <c r="D9" s="116">
        <f>894.14*2</f>
        <v>1788.28</v>
      </c>
      <c r="E9" s="115">
        <v>2431.25</v>
      </c>
      <c r="F9" s="116">
        <f>Mensuel!$C$6</f>
        <v>2545.833333</v>
      </c>
      <c r="G9" s="115">
        <v>2431.25</v>
      </c>
      <c r="H9" s="116">
        <f>Mensuel!$C$6</f>
        <v>2545.833333</v>
      </c>
      <c r="I9" s="117"/>
      <c r="J9" s="116">
        <f>Mensuel!$C$6</f>
        <v>2545.833333</v>
      </c>
      <c r="K9" s="117"/>
      <c r="L9" s="116">
        <f>Mensuel!$C$6</f>
        <v>2545.833333</v>
      </c>
      <c r="M9" s="117"/>
      <c r="N9" s="118">
        <f>Mensuel!$C$6</f>
        <v>2545.833333</v>
      </c>
      <c r="O9" s="119"/>
      <c r="P9" s="114">
        <f>Mensuel!$C$6</f>
        <v>2545.833333</v>
      </c>
      <c r="Q9" s="115"/>
      <c r="R9" s="116">
        <f>Mensuel!$C$6</f>
        <v>2545.833333</v>
      </c>
      <c r="S9" s="116">
        <f>Mensuel!$C$6</f>
        <v>2545.833333</v>
      </c>
      <c r="T9" s="116">
        <f>Mensuel!$C$6</f>
        <v>2545.833333</v>
      </c>
      <c r="U9" s="120">
        <f>Mensuel!$C$6</f>
        <v>2545.833333</v>
      </c>
      <c r="W9" s="121">
        <f t="shared" si="4"/>
        <v>29792.44667</v>
      </c>
      <c r="X9" s="112">
        <f t="shared" si="3"/>
        <v>15045.83333</v>
      </c>
      <c r="Y9" s="55"/>
      <c r="Z9" s="55"/>
      <c r="AA9" s="55"/>
      <c r="AB9" s="55"/>
      <c r="AC9" s="55"/>
      <c r="AD9" s="55"/>
    </row>
    <row r="10">
      <c r="A10" s="113" t="s">
        <v>49</v>
      </c>
      <c r="B10" s="114">
        <v>1070.97</v>
      </c>
      <c r="C10" s="115">
        <v>1070.97</v>
      </c>
      <c r="D10" s="116"/>
      <c r="E10" s="115"/>
      <c r="F10" s="116"/>
      <c r="G10" s="115"/>
      <c r="H10" s="116">
        <v>1070.97</v>
      </c>
      <c r="I10" s="117">
        <v>1070.97</v>
      </c>
      <c r="J10" s="116"/>
      <c r="K10" s="117"/>
      <c r="L10" s="116"/>
      <c r="M10" s="117"/>
      <c r="N10" s="118">
        <v>1070.97</v>
      </c>
      <c r="O10" s="119"/>
      <c r="P10" s="114"/>
      <c r="Q10" s="115"/>
      <c r="R10" s="116"/>
      <c r="S10" s="122">
        <v>1070.97</v>
      </c>
      <c r="T10" s="116"/>
      <c r="U10" s="120"/>
      <c r="W10" s="121">
        <f t="shared" si="4"/>
        <v>4283.88</v>
      </c>
      <c r="X10" s="112">
        <f t="shared" si="3"/>
        <v>2141.94</v>
      </c>
      <c r="Y10" s="55"/>
      <c r="Z10" s="55"/>
      <c r="AA10" s="55"/>
      <c r="AB10" s="55"/>
      <c r="AC10" s="55"/>
      <c r="AD10" s="55"/>
    </row>
    <row r="11">
      <c r="A11" s="113" t="s">
        <v>51</v>
      </c>
      <c r="B11" s="123">
        <f>Mensuel!$C$9</f>
        <v>691.48</v>
      </c>
      <c r="C11" s="124">
        <v>631.82</v>
      </c>
      <c r="D11" s="125">
        <f>Mensuel!$C$9</f>
        <v>691.48</v>
      </c>
      <c r="E11" s="124">
        <v>631.82</v>
      </c>
      <c r="F11" s="125">
        <f>Mensuel!$C$9</f>
        <v>691.48</v>
      </c>
      <c r="G11" s="126">
        <v>600.0</v>
      </c>
      <c r="H11" s="125">
        <f>Mensuel!$C$9</f>
        <v>691.48</v>
      </c>
      <c r="I11" s="127">
        <f>650.9+1800</f>
        <v>2450.9</v>
      </c>
      <c r="J11" s="125">
        <f>Mensuel!$C$9</f>
        <v>691.48</v>
      </c>
      <c r="K11" s="127"/>
      <c r="L11" s="125">
        <f>Mensuel!$C$9</f>
        <v>691.48</v>
      </c>
      <c r="M11" s="127"/>
      <c r="N11" s="128">
        <f>Mensuel!$C$9</f>
        <v>691.48</v>
      </c>
      <c r="O11" s="129"/>
      <c r="P11" s="123">
        <f>Mensuel!$C$9</f>
        <v>691.48</v>
      </c>
      <c r="Q11" s="126"/>
      <c r="R11" s="125">
        <f>Mensuel!$C$9</f>
        <v>691.48</v>
      </c>
      <c r="S11" s="125">
        <f>Mensuel!$C$9</f>
        <v>691.48</v>
      </c>
      <c r="T11" s="125">
        <f>Mensuel!$C$9</f>
        <v>691.48</v>
      </c>
      <c r="U11" s="130">
        <f>Mensuel!$C$9</f>
        <v>691.48</v>
      </c>
      <c r="W11" s="121">
        <f t="shared" si="4"/>
        <v>8297.76</v>
      </c>
      <c r="X11" s="112">
        <f t="shared" si="3"/>
        <v>6448.64</v>
      </c>
      <c r="Y11" s="55"/>
      <c r="Z11" s="55"/>
      <c r="AA11" s="55"/>
      <c r="AB11" s="55"/>
      <c r="AC11" s="55"/>
      <c r="AD11" s="55"/>
    </row>
    <row r="12">
      <c r="A12" s="113" t="s">
        <v>90</v>
      </c>
      <c r="B12" s="125">
        <v>716.04</v>
      </c>
      <c r="C12" s="124">
        <v>716.04</v>
      </c>
      <c r="D12" s="125">
        <v>716.04</v>
      </c>
      <c r="E12" s="124">
        <v>716.04</v>
      </c>
      <c r="F12" s="125">
        <v>716.04</v>
      </c>
      <c r="G12" s="126">
        <v>716.04</v>
      </c>
      <c r="H12" s="125">
        <v>716.04</v>
      </c>
      <c r="I12" s="127"/>
      <c r="J12" s="125">
        <v>716.04</v>
      </c>
      <c r="K12" s="127"/>
      <c r="L12" s="125">
        <v>716.04</v>
      </c>
      <c r="M12" s="127"/>
      <c r="N12" s="125">
        <v>716.04</v>
      </c>
      <c r="O12" s="129"/>
      <c r="P12" s="125">
        <v>716.04</v>
      </c>
      <c r="Q12" s="126"/>
      <c r="R12" s="125">
        <f>Mensuel!$C$10</f>
        <v>0</v>
      </c>
      <c r="S12" s="125">
        <f>Mensuel!$C$10</f>
        <v>0</v>
      </c>
      <c r="T12" s="125">
        <f>Mensuel!$C$10</f>
        <v>0</v>
      </c>
      <c r="U12" s="125">
        <f>Mensuel!$C$10</f>
        <v>0</v>
      </c>
      <c r="W12" s="121"/>
      <c r="X12" s="112">
        <f t="shared" si="3"/>
        <v>1432.08</v>
      </c>
      <c r="Y12" s="55"/>
      <c r="Z12" s="55"/>
      <c r="AA12" s="55"/>
      <c r="AB12" s="55"/>
      <c r="AC12" s="55"/>
      <c r="AD12" s="55"/>
    </row>
    <row r="13">
      <c r="A13" s="53"/>
      <c r="B13" s="97"/>
      <c r="C13" s="98"/>
      <c r="D13" s="98"/>
      <c r="E13" s="98"/>
      <c r="F13" s="98"/>
      <c r="G13" s="98"/>
      <c r="H13" s="98"/>
      <c r="I13" s="91"/>
      <c r="J13" s="98"/>
      <c r="K13" s="91"/>
      <c r="L13" s="98"/>
      <c r="M13" s="91"/>
      <c r="N13" s="131"/>
      <c r="O13" s="132"/>
      <c r="P13" s="97"/>
      <c r="Q13" s="98"/>
      <c r="R13" s="98"/>
      <c r="S13" s="98"/>
      <c r="T13" s="98"/>
      <c r="U13" s="91"/>
      <c r="W13" s="121"/>
      <c r="X13" s="112"/>
      <c r="Y13" s="55"/>
      <c r="Z13" s="55"/>
      <c r="AA13" s="55"/>
      <c r="AB13" s="55"/>
      <c r="AC13" s="55"/>
      <c r="AD13" s="55"/>
    </row>
    <row r="14">
      <c r="A14" s="133" t="s">
        <v>91</v>
      </c>
      <c r="B14" s="134">
        <f t="shared" ref="B14:U14" si="5">sum(B15:B18)</f>
        <v>1930.38</v>
      </c>
      <c r="C14" s="135">
        <f t="shared" si="5"/>
        <v>2327.38</v>
      </c>
      <c r="D14" s="136">
        <f t="shared" si="5"/>
        <v>1930.38</v>
      </c>
      <c r="E14" s="135">
        <f t="shared" si="5"/>
        <v>2327.38</v>
      </c>
      <c r="F14" s="136">
        <f t="shared" si="5"/>
        <v>1930.38</v>
      </c>
      <c r="G14" s="135">
        <f t="shared" si="5"/>
        <v>2327.38</v>
      </c>
      <c r="H14" s="136">
        <f t="shared" si="5"/>
        <v>1930.38</v>
      </c>
      <c r="I14" s="137">
        <f t="shared" si="5"/>
        <v>2327.38</v>
      </c>
      <c r="J14" s="136">
        <f t="shared" si="5"/>
        <v>1930.38</v>
      </c>
      <c r="K14" s="137">
        <f t="shared" si="5"/>
        <v>0</v>
      </c>
      <c r="L14" s="136">
        <f t="shared" si="5"/>
        <v>1930.38</v>
      </c>
      <c r="M14" s="137">
        <f t="shared" si="5"/>
        <v>0</v>
      </c>
      <c r="N14" s="138">
        <f t="shared" si="5"/>
        <v>1930.38</v>
      </c>
      <c r="O14" s="139">
        <f t="shared" si="5"/>
        <v>0</v>
      </c>
      <c r="P14" s="134">
        <f t="shared" si="5"/>
        <v>1930.38</v>
      </c>
      <c r="Q14" s="135">
        <f t="shared" si="5"/>
        <v>0</v>
      </c>
      <c r="R14" s="136">
        <f t="shared" si="5"/>
        <v>1930.38</v>
      </c>
      <c r="S14" s="136">
        <f t="shared" si="5"/>
        <v>1930.38</v>
      </c>
      <c r="T14" s="136">
        <f t="shared" si="5"/>
        <v>1930.38</v>
      </c>
      <c r="U14" s="140">
        <f t="shared" si="5"/>
        <v>1930.38</v>
      </c>
      <c r="W14" s="141">
        <f>SUM(W15:W18)</f>
        <v>23164.56</v>
      </c>
      <c r="X14" s="112">
        <f t="shared" ref="X14:X17" si="6">SUM(E14,G14,I14,K14,M14,O14,Q14,R14:U14)</f>
        <v>14703.66</v>
      </c>
      <c r="Y14" s="55"/>
      <c r="Z14" s="55"/>
      <c r="AA14" s="55"/>
      <c r="AB14" s="55"/>
      <c r="AC14" s="55"/>
      <c r="AD14" s="55"/>
    </row>
    <row r="15">
      <c r="A15" s="2" t="s">
        <v>92</v>
      </c>
      <c r="B15" s="142">
        <f>Mensuel!$C$16</f>
        <v>1680</v>
      </c>
      <c r="C15" s="115">
        <v>2077.0</v>
      </c>
      <c r="D15" s="143">
        <f>Mensuel!$C$16</f>
        <v>1680</v>
      </c>
      <c r="E15" s="115">
        <v>2077.0</v>
      </c>
      <c r="F15" s="143">
        <f>Mensuel!$C$16</f>
        <v>1680</v>
      </c>
      <c r="G15" s="115">
        <v>2077.0</v>
      </c>
      <c r="H15" s="143">
        <f>Mensuel!$C$16</f>
        <v>1680</v>
      </c>
      <c r="I15" s="117">
        <v>2077.0</v>
      </c>
      <c r="J15" s="143">
        <f>Mensuel!$C$16</f>
        <v>1680</v>
      </c>
      <c r="K15" s="117"/>
      <c r="L15" s="143">
        <f>Mensuel!$C$16</f>
        <v>1680</v>
      </c>
      <c r="M15" s="117"/>
      <c r="N15" s="144">
        <f>Mensuel!$C$16</f>
        <v>1680</v>
      </c>
      <c r="O15" s="119"/>
      <c r="P15" s="142">
        <f>Mensuel!$C$16</f>
        <v>1680</v>
      </c>
      <c r="Q15" s="115"/>
      <c r="R15" s="143">
        <f>Mensuel!$C$16</f>
        <v>1680</v>
      </c>
      <c r="S15" s="143">
        <f>Mensuel!$C$16</f>
        <v>1680</v>
      </c>
      <c r="T15" s="143">
        <f>Mensuel!$C$16</f>
        <v>1680</v>
      </c>
      <c r="U15" s="145">
        <f>Mensuel!$C$16</f>
        <v>1680</v>
      </c>
      <c r="W15" s="121">
        <f t="shared" ref="W15:W17" si="7">SUM(B15,D15,F15,H15,J15,L15,N15,P15,R15,S15,T15,U15)</f>
        <v>20160</v>
      </c>
      <c r="X15" s="112">
        <f t="shared" si="6"/>
        <v>12951</v>
      </c>
      <c r="Y15" s="55"/>
      <c r="Z15" s="55"/>
      <c r="AA15" s="55"/>
      <c r="AB15" s="55"/>
      <c r="AC15" s="55"/>
      <c r="AD15" s="55"/>
    </row>
    <row r="16">
      <c r="A16" s="2" t="s">
        <v>15</v>
      </c>
      <c r="B16" s="97">
        <f>Mensuel!$C$17</f>
        <v>170</v>
      </c>
      <c r="C16" s="115">
        <v>170.0</v>
      </c>
      <c r="D16" s="98">
        <f>Mensuel!$C$17</f>
        <v>170</v>
      </c>
      <c r="E16" s="146">
        <v>170.0</v>
      </c>
      <c r="F16" s="98">
        <f>Mensuel!$C$17</f>
        <v>170</v>
      </c>
      <c r="G16" s="115">
        <v>170.0</v>
      </c>
      <c r="H16" s="98">
        <f>Mensuel!$C$17</f>
        <v>170</v>
      </c>
      <c r="I16" s="147">
        <v>170.0</v>
      </c>
      <c r="J16" s="98">
        <f>Mensuel!$C$17</f>
        <v>170</v>
      </c>
      <c r="K16" s="117"/>
      <c r="L16" s="98">
        <f>Mensuel!$C$17</f>
        <v>170</v>
      </c>
      <c r="M16" s="117"/>
      <c r="N16" s="131">
        <f>Mensuel!$C$17</f>
        <v>170</v>
      </c>
      <c r="O16" s="117"/>
      <c r="P16" s="97">
        <f>Mensuel!$C$17</f>
        <v>170</v>
      </c>
      <c r="Q16" s="115"/>
      <c r="R16" s="98">
        <f>Mensuel!$C$17</f>
        <v>170</v>
      </c>
      <c r="S16" s="98">
        <f>Mensuel!$C$17</f>
        <v>170</v>
      </c>
      <c r="T16" s="98">
        <f>Mensuel!$C$17</f>
        <v>170</v>
      </c>
      <c r="U16" s="91">
        <f>Mensuel!$C$17</f>
        <v>170</v>
      </c>
      <c r="W16" s="121">
        <f t="shared" si="7"/>
        <v>2040</v>
      </c>
      <c r="X16" s="112">
        <f t="shared" si="6"/>
        <v>1190</v>
      </c>
      <c r="Y16" s="55"/>
      <c r="Z16" s="55"/>
      <c r="AA16" s="55"/>
      <c r="AB16" s="55"/>
      <c r="AC16" s="55"/>
      <c r="AD16" s="55"/>
    </row>
    <row r="17">
      <c r="A17" s="2" t="s">
        <v>93</v>
      </c>
      <c r="B17" s="142">
        <f>Mensuel!$C$21</f>
        <v>80.38</v>
      </c>
      <c r="C17" s="115">
        <v>80.38</v>
      </c>
      <c r="D17" s="143">
        <f>Mensuel!$C$21</f>
        <v>80.38</v>
      </c>
      <c r="E17" s="115">
        <v>80.38</v>
      </c>
      <c r="F17" s="143">
        <f>Mensuel!$C$21</f>
        <v>80.38</v>
      </c>
      <c r="G17" s="115">
        <v>80.38</v>
      </c>
      <c r="H17" s="143">
        <f>Mensuel!$C$21</f>
        <v>80.38</v>
      </c>
      <c r="I17" s="117">
        <v>80.38</v>
      </c>
      <c r="J17" s="143">
        <f>Mensuel!$C$21</f>
        <v>80.38</v>
      </c>
      <c r="K17" s="117"/>
      <c r="L17" s="143">
        <f>Mensuel!$C$21</f>
        <v>80.38</v>
      </c>
      <c r="M17" s="117"/>
      <c r="N17" s="144">
        <f>Mensuel!$C$21</f>
        <v>80.38</v>
      </c>
      <c r="O17" s="117"/>
      <c r="P17" s="142">
        <f>Mensuel!$C$21</f>
        <v>80.38</v>
      </c>
      <c r="Q17" s="115"/>
      <c r="R17" s="143">
        <f>Mensuel!$C$21</f>
        <v>80.38</v>
      </c>
      <c r="S17" s="143">
        <f>Mensuel!$C$21</f>
        <v>80.38</v>
      </c>
      <c r="T17" s="143">
        <f>Mensuel!$C$21</f>
        <v>80.38</v>
      </c>
      <c r="U17" s="145">
        <f>Mensuel!$C$21</f>
        <v>80.38</v>
      </c>
      <c r="W17" s="121">
        <f t="shared" si="7"/>
        <v>964.56</v>
      </c>
      <c r="X17" s="112">
        <f t="shared" si="6"/>
        <v>562.66</v>
      </c>
      <c r="Y17" s="55"/>
      <c r="Z17" s="55"/>
      <c r="AA17" s="55"/>
      <c r="AB17" s="55"/>
      <c r="AC17" s="55"/>
      <c r="AD17" s="55"/>
    </row>
    <row r="18">
      <c r="A18" s="2" t="s">
        <v>94</v>
      </c>
      <c r="B18" s="97"/>
      <c r="C18" s="143"/>
      <c r="D18" s="98"/>
      <c r="E18" s="98"/>
      <c r="F18" s="143"/>
      <c r="G18" s="143"/>
      <c r="H18" s="98"/>
      <c r="I18" s="145"/>
      <c r="J18" s="143"/>
      <c r="K18" s="145"/>
      <c r="L18" s="98"/>
      <c r="M18" s="145"/>
      <c r="N18" s="144"/>
      <c r="O18" s="148"/>
      <c r="P18" s="97"/>
      <c r="Q18" s="143"/>
      <c r="R18" s="98"/>
      <c r="S18" s="143"/>
      <c r="T18" s="98"/>
      <c r="U18" s="91"/>
      <c r="W18" s="121"/>
      <c r="X18" s="112"/>
      <c r="Y18" s="55"/>
      <c r="Z18" s="55"/>
      <c r="AA18" s="55"/>
      <c r="AB18" s="55"/>
      <c r="AC18" s="55"/>
      <c r="AD18" s="55"/>
    </row>
    <row r="19">
      <c r="A19" s="53"/>
      <c r="B19" s="97"/>
      <c r="C19" s="98"/>
      <c r="D19" s="98"/>
      <c r="E19" s="98"/>
      <c r="F19" s="98"/>
      <c r="G19" s="98"/>
      <c r="H19" s="98"/>
      <c r="I19" s="91"/>
      <c r="J19" s="98"/>
      <c r="K19" s="91"/>
      <c r="L19" s="98"/>
      <c r="M19" s="91"/>
      <c r="N19" s="131"/>
      <c r="O19" s="132"/>
      <c r="P19" s="97"/>
      <c r="Q19" s="98"/>
      <c r="R19" s="98"/>
      <c r="S19" s="98"/>
      <c r="T19" s="98"/>
      <c r="U19" s="91"/>
      <c r="W19" s="121"/>
      <c r="X19" s="112"/>
      <c r="Y19" s="55"/>
      <c r="Z19" s="55"/>
      <c r="AA19" s="55"/>
      <c r="AB19" s="55"/>
      <c r="AC19" s="55"/>
      <c r="AD19" s="55"/>
    </row>
    <row r="20">
      <c r="A20" s="149" t="s">
        <v>95</v>
      </c>
      <c r="B20" s="134" t="str">
        <f t="shared" ref="B20:U20" si="8">SUM(B21:B25)</f>
        <v>#REF!</v>
      </c>
      <c r="C20" s="135">
        <f t="shared" si="8"/>
        <v>539.29</v>
      </c>
      <c r="D20" s="136" t="str">
        <f t="shared" si="8"/>
        <v>#REF!</v>
      </c>
      <c r="E20" s="135">
        <f t="shared" si="8"/>
        <v>514.54</v>
      </c>
      <c r="F20" s="136" t="str">
        <f t="shared" si="8"/>
        <v>#REF!</v>
      </c>
      <c r="G20" s="135">
        <f t="shared" si="8"/>
        <v>1112.33</v>
      </c>
      <c r="H20" s="136" t="str">
        <f t="shared" si="8"/>
        <v>#REF!</v>
      </c>
      <c r="I20" s="137">
        <f t="shared" si="8"/>
        <v>0</v>
      </c>
      <c r="J20" s="136" t="str">
        <f t="shared" si="8"/>
        <v>#REF!</v>
      </c>
      <c r="K20" s="137">
        <f t="shared" si="8"/>
        <v>0</v>
      </c>
      <c r="L20" s="136" t="str">
        <f t="shared" si="8"/>
        <v>#REF!</v>
      </c>
      <c r="M20" s="137">
        <f t="shared" si="8"/>
        <v>0</v>
      </c>
      <c r="N20" s="138">
        <f t="shared" si="8"/>
        <v>663.29</v>
      </c>
      <c r="O20" s="139">
        <f t="shared" si="8"/>
        <v>0</v>
      </c>
      <c r="P20" s="134">
        <f t="shared" si="8"/>
        <v>638.54</v>
      </c>
      <c r="Q20" s="135">
        <f t="shared" si="8"/>
        <v>0</v>
      </c>
      <c r="R20" s="136">
        <f t="shared" si="8"/>
        <v>666.12</v>
      </c>
      <c r="S20" s="136">
        <f t="shared" si="8"/>
        <v>666.12</v>
      </c>
      <c r="T20" s="136">
        <f t="shared" si="8"/>
        <v>666.12</v>
      </c>
      <c r="U20" s="140">
        <f t="shared" si="8"/>
        <v>666.12</v>
      </c>
      <c r="W20" s="141" t="str">
        <f>SUM(W21:W24)</f>
        <v>#REF!</v>
      </c>
      <c r="X20" s="112">
        <f t="shared" ref="X20:X24" si="9">SUM(E20,G20,I20,K20,M20,O20,Q20,R20:U20)</f>
        <v>4291.35</v>
      </c>
      <c r="Y20" s="55"/>
      <c r="Z20" s="55"/>
      <c r="AA20" s="55"/>
      <c r="AB20" s="55"/>
      <c r="AC20" s="55"/>
      <c r="AD20" s="55"/>
    </row>
    <row r="21">
      <c r="A21" s="150" t="s">
        <v>36</v>
      </c>
      <c r="B21" s="142" t="str">
        <f>#REF!</f>
        <v>#REF!</v>
      </c>
      <c r="C21" s="115">
        <v>416.0</v>
      </c>
      <c r="D21" s="143" t="str">
        <f>#REF!</f>
        <v>#REF!</v>
      </c>
      <c r="E21" s="115">
        <v>416.0</v>
      </c>
      <c r="F21" s="143" t="str">
        <f>#REF!</f>
        <v>#REF!</v>
      </c>
      <c r="G21" s="115">
        <v>416.0</v>
      </c>
      <c r="H21" s="143" t="str">
        <f>#REF!</f>
        <v>#REF!</v>
      </c>
      <c r="I21" s="117"/>
      <c r="J21" s="143" t="str">
        <f>#REF!</f>
        <v>#REF!</v>
      </c>
      <c r="K21" s="117"/>
      <c r="L21" s="143" t="str">
        <f>#REF!</f>
        <v>#REF!</v>
      </c>
      <c r="M21" s="117"/>
      <c r="N21" s="144"/>
      <c r="O21" s="119"/>
      <c r="P21" s="142"/>
      <c r="Q21" s="115"/>
      <c r="R21" s="143"/>
      <c r="S21" s="143"/>
      <c r="T21" s="143"/>
      <c r="U21" s="145"/>
      <c r="W21" s="121" t="str">
        <f t="shared" ref="W21:W24" si="10">SUM(B21,D21,F21,H21,J21,L21,N21,P21,R21,S21,T21,U21)</f>
        <v>#REF!</v>
      </c>
      <c r="X21" s="112">
        <f t="shared" si="9"/>
        <v>832</v>
      </c>
      <c r="Y21" s="55"/>
      <c r="Z21" s="55"/>
      <c r="AA21" s="55"/>
      <c r="AB21" s="55"/>
      <c r="AC21" s="55"/>
      <c r="AD21" s="55"/>
    </row>
    <row r="22">
      <c r="A22" s="150" t="s">
        <v>96</v>
      </c>
      <c r="B22" s="142">
        <v>24.75</v>
      </c>
      <c r="C22" s="115">
        <v>24.75</v>
      </c>
      <c r="D22" s="143"/>
      <c r="E22" s="115"/>
      <c r="F22" s="143">
        <v>210.32</v>
      </c>
      <c r="G22" s="115">
        <v>210.32</v>
      </c>
      <c r="H22" s="143"/>
      <c r="I22" s="117"/>
      <c r="J22" s="143">
        <v>202.74</v>
      </c>
      <c r="K22" s="117"/>
      <c r="L22" s="143"/>
      <c r="M22" s="117"/>
      <c r="N22" s="144">
        <v>24.75</v>
      </c>
      <c r="O22" s="119"/>
      <c r="P22" s="142"/>
      <c r="Q22" s="115"/>
      <c r="R22" s="143"/>
      <c r="S22" s="143"/>
      <c r="T22" s="143"/>
      <c r="U22" s="145"/>
      <c r="W22" s="121">
        <f t="shared" si="10"/>
        <v>462.56</v>
      </c>
      <c r="X22" s="112">
        <f t="shared" si="9"/>
        <v>210.32</v>
      </c>
      <c r="Y22" s="55"/>
      <c r="Z22" s="55"/>
      <c r="AA22" s="55"/>
      <c r="AB22" s="55"/>
      <c r="AC22" s="55"/>
      <c r="AD22" s="55"/>
    </row>
    <row r="23">
      <c r="A23" s="150" t="s">
        <v>97</v>
      </c>
      <c r="B23" s="142">
        <f>Mensuel!$C$22</f>
        <v>98.54</v>
      </c>
      <c r="C23" s="115">
        <v>98.54</v>
      </c>
      <c r="D23" s="143">
        <f>Mensuel!$C$22</f>
        <v>98.54</v>
      </c>
      <c r="E23" s="115">
        <v>98.54</v>
      </c>
      <c r="F23" s="143">
        <f>Mensuel!$C$22</f>
        <v>98.54</v>
      </c>
      <c r="G23" s="115">
        <v>98.54</v>
      </c>
      <c r="H23" s="143">
        <f>Mensuel!$C$22</f>
        <v>98.54</v>
      </c>
      <c r="I23" s="117"/>
      <c r="J23" s="143">
        <f>Mensuel!$C$22</f>
        <v>98.54</v>
      </c>
      <c r="K23" s="117"/>
      <c r="L23" s="143">
        <f>Mensuel!$C$22</f>
        <v>98.54</v>
      </c>
      <c r="M23" s="117"/>
      <c r="N23" s="144">
        <f>Mensuel!$C$22</f>
        <v>98.54</v>
      </c>
      <c r="O23" s="117"/>
      <c r="P23" s="142">
        <f>Mensuel!$C$22</f>
        <v>98.54</v>
      </c>
      <c r="Q23" s="115"/>
      <c r="R23" s="143">
        <v>126.12</v>
      </c>
      <c r="S23" s="143">
        <v>126.12</v>
      </c>
      <c r="T23" s="143">
        <v>126.12</v>
      </c>
      <c r="U23" s="145">
        <v>126.12</v>
      </c>
      <c r="W23" s="121">
        <f t="shared" si="10"/>
        <v>1292.8</v>
      </c>
      <c r="X23" s="112">
        <f t="shared" si="9"/>
        <v>701.56</v>
      </c>
      <c r="Y23" s="55"/>
      <c r="Z23" s="55"/>
      <c r="AA23" s="55"/>
      <c r="AB23" s="55"/>
      <c r="AC23" s="55"/>
      <c r="AD23" s="55"/>
    </row>
    <row r="24">
      <c r="A24" s="150" t="s">
        <v>38</v>
      </c>
      <c r="B24" s="142">
        <f>Mensuel!$C$27</f>
        <v>540</v>
      </c>
      <c r="C24" s="115"/>
      <c r="D24" s="143">
        <f>Mensuel!$C$27</f>
        <v>540</v>
      </c>
      <c r="E24" s="115"/>
      <c r="F24" s="143">
        <f>Mensuel!$C$27</f>
        <v>540</v>
      </c>
      <c r="G24" s="115">
        <f>268.33+65.86+53.28</f>
        <v>387.47</v>
      </c>
      <c r="H24" s="143">
        <f>Mensuel!$C$27</f>
        <v>540</v>
      </c>
      <c r="I24" s="117"/>
      <c r="J24" s="143">
        <f>Mensuel!$C$27</f>
        <v>540</v>
      </c>
      <c r="K24" s="117"/>
      <c r="L24" s="143">
        <f>Mensuel!$C$27</f>
        <v>540</v>
      </c>
      <c r="M24" s="117"/>
      <c r="N24" s="144">
        <f>Mensuel!$C$27</f>
        <v>540</v>
      </c>
      <c r="O24" s="119"/>
      <c r="P24" s="142">
        <f>Mensuel!$C$27</f>
        <v>540</v>
      </c>
      <c r="Q24" s="115"/>
      <c r="R24" s="143">
        <f>Mensuel!$C$27</f>
        <v>540</v>
      </c>
      <c r="S24" s="143">
        <f>Mensuel!$C$27</f>
        <v>540</v>
      </c>
      <c r="T24" s="143">
        <f>Mensuel!$C$27</f>
        <v>540</v>
      </c>
      <c r="U24" s="145">
        <f>Mensuel!$C$27</f>
        <v>540</v>
      </c>
      <c r="W24" s="121">
        <f t="shared" si="10"/>
        <v>6480</v>
      </c>
      <c r="X24" s="112">
        <f t="shared" si="9"/>
        <v>2547.47</v>
      </c>
      <c r="Y24" s="55"/>
      <c r="Z24" s="55"/>
      <c r="AA24" s="55"/>
      <c r="AB24" s="55"/>
      <c r="AC24" s="55"/>
      <c r="AD24" s="55"/>
    </row>
    <row r="25">
      <c r="A25" s="151" t="s">
        <v>98</v>
      </c>
      <c r="B25" s="97"/>
      <c r="C25" s="98"/>
      <c r="D25" s="152"/>
      <c r="E25" s="126"/>
      <c r="F25" s="98"/>
      <c r="G25" s="98"/>
      <c r="H25" s="143">
        <f>120+160+300+500</f>
        <v>1080</v>
      </c>
      <c r="I25" s="145"/>
      <c r="J25" s="143"/>
      <c r="K25" s="91"/>
      <c r="L25" s="143"/>
      <c r="M25" s="91"/>
      <c r="N25" s="144"/>
      <c r="O25" s="132"/>
      <c r="P25" s="142"/>
      <c r="Q25" s="98"/>
      <c r="R25" s="143"/>
      <c r="S25" s="143"/>
      <c r="T25" s="143"/>
      <c r="U25" s="145"/>
      <c r="W25" s="121"/>
      <c r="X25" s="112"/>
      <c r="Y25" s="55"/>
      <c r="Z25" s="55"/>
      <c r="AA25" s="55"/>
      <c r="AB25" s="55"/>
      <c r="AC25" s="55"/>
      <c r="AD25" s="55"/>
    </row>
    <row r="26">
      <c r="A26" s="150"/>
      <c r="B26" s="97"/>
      <c r="C26" s="98"/>
      <c r="D26" s="98"/>
      <c r="E26" s="98"/>
      <c r="F26" s="98"/>
      <c r="G26" s="98"/>
      <c r="H26" s="98"/>
      <c r="I26" s="91"/>
      <c r="J26" s="98"/>
      <c r="K26" s="91"/>
      <c r="L26" s="98"/>
      <c r="M26" s="91"/>
      <c r="N26" s="131"/>
      <c r="O26" s="132"/>
      <c r="P26" s="97"/>
      <c r="Q26" s="98"/>
      <c r="R26" s="98"/>
      <c r="S26" s="98"/>
      <c r="T26" s="98"/>
      <c r="U26" s="91"/>
      <c r="W26" s="121"/>
      <c r="X26" s="112"/>
      <c r="Y26" s="55"/>
      <c r="Z26" s="55"/>
      <c r="AA26" s="55"/>
      <c r="AB26" s="55"/>
      <c r="AC26" s="55"/>
      <c r="AD26" s="55"/>
    </row>
    <row r="27">
      <c r="A27" s="149" t="s">
        <v>99</v>
      </c>
      <c r="B27" s="134">
        <f>SUM(B28:B33)</f>
        <v>1803.17</v>
      </c>
      <c r="C27" s="135">
        <f>sum(C28:C33)</f>
        <v>1611.63</v>
      </c>
      <c r="D27" s="134">
        <f t="shared" ref="D27:F27" si="11">SUM(D28:D33)</f>
        <v>1803.17</v>
      </c>
      <c r="E27" s="135">
        <f t="shared" si="11"/>
        <v>1612.63</v>
      </c>
      <c r="F27" s="134">
        <f t="shared" si="11"/>
        <v>1803.17</v>
      </c>
      <c r="G27" s="135">
        <f>sum(G28:G33)</f>
        <v>1611.63</v>
      </c>
      <c r="H27" s="134">
        <f>SUM(H28:H33)</f>
        <v>1803.17</v>
      </c>
      <c r="I27" s="135">
        <f>sum(I28:I33)</f>
        <v>0</v>
      </c>
      <c r="J27" s="134">
        <f>SUM(J28:J33)</f>
        <v>1803.17</v>
      </c>
      <c r="K27" s="135">
        <f>sum(K28:K33)</f>
        <v>0</v>
      </c>
      <c r="L27" s="134">
        <f>SUM(L28:L33)</f>
        <v>1803.17</v>
      </c>
      <c r="M27" s="135">
        <f>sum(M28:M33)</f>
        <v>0</v>
      </c>
      <c r="N27" s="134">
        <f>SUM(N28:N33)</f>
        <v>1803.17</v>
      </c>
      <c r="O27" s="135">
        <f>sum(O28:O33)</f>
        <v>0</v>
      </c>
      <c r="P27" s="134">
        <f>SUM(P28:P33)</f>
        <v>1803.17</v>
      </c>
      <c r="Q27" s="135">
        <f>sum(Q28:Q33)</f>
        <v>0</v>
      </c>
      <c r="R27" s="134">
        <f t="shared" ref="R27:U27" si="12">SUM(R28:R33)</f>
        <v>803.17</v>
      </c>
      <c r="S27" s="134">
        <f t="shared" si="12"/>
        <v>803.17</v>
      </c>
      <c r="T27" s="134">
        <f t="shared" si="12"/>
        <v>803.17</v>
      </c>
      <c r="U27" s="134">
        <f t="shared" si="12"/>
        <v>803.17</v>
      </c>
      <c r="W27" s="141">
        <f>SUM(W28:W32)</f>
        <v>15538.04</v>
      </c>
      <c r="X27" s="112">
        <f t="shared" ref="X27:X33" si="13">SUM(E27,G27,I27,K27,M27,O27,Q27,R27:U27)</f>
        <v>6436.94</v>
      </c>
      <c r="Y27" s="55"/>
      <c r="Z27" s="55"/>
      <c r="AA27" s="55"/>
      <c r="AB27" s="55"/>
      <c r="AC27" s="55"/>
      <c r="AD27" s="55"/>
    </row>
    <row r="28">
      <c r="A28" s="150" t="s">
        <v>100</v>
      </c>
      <c r="B28" s="100">
        <f>Mensuel!$G$22</f>
        <v>40</v>
      </c>
      <c r="C28" s="153">
        <f>10.95+9.61+3.95+3.95</f>
        <v>28.46</v>
      </c>
      <c r="D28" s="101">
        <f>Mensuel!$G$22</f>
        <v>40</v>
      </c>
      <c r="E28" s="153">
        <f>10.95+9.61+3.95+3.95</f>
        <v>28.46</v>
      </c>
      <c r="F28" s="101">
        <f>Mensuel!$G$22</f>
        <v>40</v>
      </c>
      <c r="G28" s="153">
        <f>10.95+9.61+3.95+3.95</f>
        <v>28.46</v>
      </c>
      <c r="H28" s="101">
        <f>Mensuel!$G$22</f>
        <v>40</v>
      </c>
      <c r="I28" s="154"/>
      <c r="J28" s="101">
        <f>Mensuel!$G$22</f>
        <v>40</v>
      </c>
      <c r="K28" s="154"/>
      <c r="L28" s="101">
        <f>Mensuel!$G$22</f>
        <v>40</v>
      </c>
      <c r="M28" s="127"/>
      <c r="N28" s="102">
        <f>Mensuel!$G$22</f>
        <v>40</v>
      </c>
      <c r="O28" s="127"/>
      <c r="P28" s="100">
        <f>Mensuel!$G$22</f>
        <v>40</v>
      </c>
      <c r="Q28" s="124"/>
      <c r="R28" s="101">
        <f>Mensuel!$G$22</f>
        <v>40</v>
      </c>
      <c r="S28" s="101">
        <f>Mensuel!$G$22</f>
        <v>40</v>
      </c>
      <c r="T28" s="101">
        <f>Mensuel!$G$22</f>
        <v>40</v>
      </c>
      <c r="U28" s="103">
        <f>Mensuel!$G$22</f>
        <v>40</v>
      </c>
      <c r="W28" s="121">
        <f t="shared" ref="W28:W33" si="14">SUM(B28,D28,F28,H28,J28,L28,N28,P28,R28,S28,T28,U28)</f>
        <v>480</v>
      </c>
      <c r="X28" s="112">
        <f t="shared" si="13"/>
        <v>216.92</v>
      </c>
      <c r="Y28" s="55"/>
      <c r="Z28" s="55"/>
      <c r="AA28" s="55"/>
      <c r="AB28" s="55"/>
      <c r="AC28" s="55"/>
      <c r="AD28" s="55"/>
    </row>
    <row r="29">
      <c r="A29" s="2" t="s">
        <v>101</v>
      </c>
      <c r="B29" s="142">
        <v>1200.0</v>
      </c>
      <c r="C29" s="115">
        <v>1200.0</v>
      </c>
      <c r="D29" s="142">
        <v>1200.0</v>
      </c>
      <c r="E29" s="115">
        <v>1200.0</v>
      </c>
      <c r="F29" s="142">
        <v>1200.0</v>
      </c>
      <c r="G29" s="115">
        <v>1200.0</v>
      </c>
      <c r="H29" s="142">
        <v>1200.0</v>
      </c>
      <c r="I29" s="117"/>
      <c r="J29" s="142">
        <v>1200.0</v>
      </c>
      <c r="K29" s="117"/>
      <c r="L29" s="142">
        <v>1200.0</v>
      </c>
      <c r="M29" s="117"/>
      <c r="N29" s="142">
        <v>1200.0</v>
      </c>
      <c r="O29" s="119"/>
      <c r="P29" s="142">
        <v>1200.0</v>
      </c>
      <c r="Q29" s="115"/>
      <c r="R29" s="97">
        <f>Mensuel!$O$15</f>
        <v>200</v>
      </c>
      <c r="S29" s="97">
        <f>Mensuel!$O$15</f>
        <v>200</v>
      </c>
      <c r="T29" s="97">
        <f>Mensuel!$O$15</f>
        <v>200</v>
      </c>
      <c r="U29" s="97">
        <f>Mensuel!$O$15</f>
        <v>200</v>
      </c>
      <c r="W29" s="121">
        <f t="shared" si="14"/>
        <v>10400</v>
      </c>
      <c r="X29" s="112">
        <f t="shared" si="13"/>
        <v>3200</v>
      </c>
      <c r="Y29" s="55"/>
      <c r="Z29" s="55"/>
      <c r="AA29" s="55"/>
      <c r="AB29" s="55"/>
      <c r="AC29" s="55"/>
      <c r="AD29" s="55"/>
    </row>
    <row r="30">
      <c r="A30" s="150" t="s">
        <v>102</v>
      </c>
      <c r="B30" s="97">
        <f>Mensuel!$K$26</f>
        <v>62.17</v>
      </c>
      <c r="C30" s="146">
        <v>62.17</v>
      </c>
      <c r="D30" s="98">
        <f>Mensuel!$K$26</f>
        <v>62.17</v>
      </c>
      <c r="E30" s="146">
        <v>62.17</v>
      </c>
      <c r="F30" s="98">
        <f>Mensuel!$K$26</f>
        <v>62.17</v>
      </c>
      <c r="G30" s="146">
        <v>62.17</v>
      </c>
      <c r="H30" s="98">
        <f>Mensuel!$K$26</f>
        <v>62.17</v>
      </c>
      <c r="I30" s="117"/>
      <c r="J30" s="98">
        <f>Mensuel!$K$26</f>
        <v>62.17</v>
      </c>
      <c r="K30" s="117"/>
      <c r="L30" s="98">
        <f>Mensuel!$K$26</f>
        <v>62.17</v>
      </c>
      <c r="M30" s="117"/>
      <c r="N30" s="131">
        <f>Mensuel!$K$26</f>
        <v>62.17</v>
      </c>
      <c r="O30" s="119"/>
      <c r="P30" s="97">
        <f>Mensuel!$K$26</f>
        <v>62.17</v>
      </c>
      <c r="Q30" s="115"/>
      <c r="R30" s="98">
        <f>Mensuel!$K$26</f>
        <v>62.17</v>
      </c>
      <c r="S30" s="98">
        <f>Mensuel!$K$26</f>
        <v>62.17</v>
      </c>
      <c r="T30" s="98">
        <f>Mensuel!$K$26</f>
        <v>62.17</v>
      </c>
      <c r="U30" s="91">
        <f>Mensuel!$K$26</f>
        <v>62.17</v>
      </c>
      <c r="W30" s="121">
        <f t="shared" si="14"/>
        <v>746.04</v>
      </c>
      <c r="X30" s="112">
        <f t="shared" si="13"/>
        <v>373.02</v>
      </c>
      <c r="Y30" s="55"/>
      <c r="Z30" s="55"/>
      <c r="AA30" s="55"/>
      <c r="AB30" s="55"/>
      <c r="AC30" s="55"/>
      <c r="AD30" s="55"/>
    </row>
    <row r="31">
      <c r="A31" s="150" t="s">
        <v>103</v>
      </c>
      <c r="B31" s="97">
        <f>Mensuel!$O$17</f>
        <v>180</v>
      </c>
      <c r="C31" s="146"/>
      <c r="D31" s="98">
        <f>Mensuel!$O$17</f>
        <v>180</v>
      </c>
      <c r="E31" s="115">
        <v>1.0</v>
      </c>
      <c r="F31" s="98">
        <f>Mensuel!$O$17</f>
        <v>180</v>
      </c>
      <c r="G31" s="115"/>
      <c r="H31" s="98">
        <f>Mensuel!$O$17</f>
        <v>180</v>
      </c>
      <c r="I31" s="117"/>
      <c r="J31" s="143">
        <v>180.0</v>
      </c>
      <c r="K31" s="117"/>
      <c r="L31" s="143">
        <v>180.0</v>
      </c>
      <c r="M31" s="117"/>
      <c r="N31" s="144">
        <v>180.0</v>
      </c>
      <c r="O31" s="119"/>
      <c r="P31" s="142">
        <v>180.0</v>
      </c>
      <c r="Q31" s="146"/>
      <c r="R31" s="143">
        <v>180.0</v>
      </c>
      <c r="S31" s="143">
        <v>180.0</v>
      </c>
      <c r="T31" s="143">
        <v>180.0</v>
      </c>
      <c r="U31" s="145">
        <v>180.0</v>
      </c>
      <c r="W31" s="121">
        <f t="shared" si="14"/>
        <v>2160</v>
      </c>
      <c r="X31" s="112">
        <f t="shared" si="13"/>
        <v>721</v>
      </c>
      <c r="Y31" s="55"/>
      <c r="Z31" s="55"/>
      <c r="AA31" s="55"/>
      <c r="AB31" s="55"/>
      <c r="AC31" s="55"/>
      <c r="AD31" s="55"/>
    </row>
    <row r="32">
      <c r="A32" s="150" t="s">
        <v>104</v>
      </c>
      <c r="B32" s="142">
        <f>Mensuel!$C$23+Mensuel!$C$24</f>
        <v>146</v>
      </c>
      <c r="C32" s="115">
        <v>146.0</v>
      </c>
      <c r="D32" s="143">
        <f>Mensuel!$C$23+Mensuel!$C$24</f>
        <v>146</v>
      </c>
      <c r="E32" s="115">
        <v>146.0</v>
      </c>
      <c r="F32" s="143">
        <f>Mensuel!$C$23+Mensuel!$C$24</f>
        <v>146</v>
      </c>
      <c r="G32" s="115">
        <v>146.0</v>
      </c>
      <c r="H32" s="143">
        <f>Mensuel!$C$23+Mensuel!$C$24</f>
        <v>146</v>
      </c>
      <c r="I32" s="117"/>
      <c r="J32" s="143">
        <f>Mensuel!$C$23+Mensuel!$C$24</f>
        <v>146</v>
      </c>
      <c r="K32" s="117"/>
      <c r="L32" s="143">
        <f>Mensuel!$C$23+Mensuel!$C$24</f>
        <v>146</v>
      </c>
      <c r="M32" s="117"/>
      <c r="N32" s="144">
        <f>Mensuel!$C$23+Mensuel!$C$24</f>
        <v>146</v>
      </c>
      <c r="O32" s="119"/>
      <c r="P32" s="142">
        <f>Mensuel!$C$23+Mensuel!$C$24</f>
        <v>146</v>
      </c>
      <c r="Q32" s="115"/>
      <c r="R32" s="143">
        <f>Mensuel!$C$23+Mensuel!$C$24</f>
        <v>146</v>
      </c>
      <c r="S32" s="143">
        <f>Mensuel!$C$23+Mensuel!$C$24</f>
        <v>146</v>
      </c>
      <c r="T32" s="143">
        <f>Mensuel!$C$23+Mensuel!$C$24</f>
        <v>146</v>
      </c>
      <c r="U32" s="145">
        <f>Mensuel!$C$23+Mensuel!$C$24</f>
        <v>146</v>
      </c>
      <c r="W32" s="121">
        <f t="shared" si="14"/>
        <v>1752</v>
      </c>
      <c r="X32" s="112">
        <f t="shared" si="13"/>
        <v>876</v>
      </c>
      <c r="Y32" s="55"/>
      <c r="Z32" s="55"/>
      <c r="AA32" s="55"/>
      <c r="AB32" s="55"/>
      <c r="AC32" s="55"/>
      <c r="AD32" s="55"/>
    </row>
    <row r="33">
      <c r="A33" s="2" t="s">
        <v>105</v>
      </c>
      <c r="B33" s="143">
        <f>Mensuel!$K$20</f>
        <v>175</v>
      </c>
      <c r="C33" s="115">
        <v>175.0</v>
      </c>
      <c r="D33" s="143">
        <f>Mensuel!$K$20</f>
        <v>175</v>
      </c>
      <c r="E33" s="115">
        <v>175.0</v>
      </c>
      <c r="F33" s="143">
        <f>Mensuel!$K$20</f>
        <v>175</v>
      </c>
      <c r="G33" s="115">
        <v>175.0</v>
      </c>
      <c r="H33" s="143">
        <f>Mensuel!$K$20</f>
        <v>175</v>
      </c>
      <c r="I33" s="147"/>
      <c r="J33" s="143">
        <f>Mensuel!$K$20</f>
        <v>175</v>
      </c>
      <c r="K33" s="147"/>
      <c r="L33" s="143">
        <f>Mensuel!$K$20</f>
        <v>175</v>
      </c>
      <c r="M33" s="147"/>
      <c r="N33" s="143">
        <f>Mensuel!$K$20</f>
        <v>175</v>
      </c>
      <c r="O33" s="155"/>
      <c r="P33" s="143">
        <f>Mensuel!$K$20</f>
        <v>175</v>
      </c>
      <c r="Q33" s="146"/>
      <c r="R33" s="143">
        <f>Mensuel!$K$20</f>
        <v>175</v>
      </c>
      <c r="S33" s="143">
        <f>Mensuel!$K$20</f>
        <v>175</v>
      </c>
      <c r="T33" s="143">
        <f>Mensuel!$K$20</f>
        <v>175</v>
      </c>
      <c r="U33" s="143">
        <f>Mensuel!$K$20</f>
        <v>175</v>
      </c>
      <c r="W33" s="121">
        <f t="shared" si="14"/>
        <v>2100</v>
      </c>
      <c r="X33" s="112">
        <f t="shared" si="13"/>
        <v>1050</v>
      </c>
      <c r="Y33" s="55"/>
      <c r="Z33" s="55"/>
      <c r="AA33" s="55"/>
      <c r="AB33" s="55"/>
      <c r="AC33" s="55"/>
      <c r="AD33" s="55"/>
    </row>
    <row r="34">
      <c r="B34" s="97"/>
      <c r="C34" s="98"/>
      <c r="D34" s="98"/>
      <c r="E34" s="98"/>
      <c r="F34" s="98"/>
      <c r="G34" s="98"/>
      <c r="H34" s="98"/>
      <c r="I34" s="91"/>
      <c r="J34" s="98"/>
      <c r="K34" s="91"/>
      <c r="L34" s="98"/>
      <c r="M34" s="91"/>
      <c r="N34" s="131"/>
      <c r="O34" s="132"/>
      <c r="P34" s="97"/>
      <c r="Q34" s="98"/>
      <c r="R34" s="98"/>
      <c r="S34" s="98"/>
      <c r="T34" s="98"/>
      <c r="U34" s="91"/>
      <c r="W34" s="121"/>
      <c r="X34" s="112"/>
      <c r="Y34" s="55"/>
      <c r="Z34" s="55"/>
      <c r="AA34" s="55"/>
      <c r="AB34" s="55"/>
      <c r="AC34" s="55"/>
      <c r="AD34" s="55"/>
    </row>
    <row r="35">
      <c r="A35" s="149" t="s">
        <v>106</v>
      </c>
      <c r="B35" s="134">
        <f>SUM(B36:B38)</f>
        <v>1058.333333</v>
      </c>
      <c r="C35" s="135">
        <f>sum(C36:C39)</f>
        <v>0</v>
      </c>
      <c r="D35" s="136">
        <f>SUM(D36:D38)</f>
        <v>1058.333333</v>
      </c>
      <c r="E35" s="135">
        <f>sum(E36:E39)</f>
        <v>0</v>
      </c>
      <c r="F35" s="136">
        <f>SUM(F36:F39)</f>
        <v>1098.333333</v>
      </c>
      <c r="G35" s="135">
        <f>sum(G36:G39)</f>
        <v>1371.73</v>
      </c>
      <c r="H35" s="136">
        <f>SUM(H36:H39)</f>
        <v>1098.333333</v>
      </c>
      <c r="I35" s="135">
        <f>sum(I36:I39)</f>
        <v>0</v>
      </c>
      <c r="J35" s="136">
        <f>SUM(J36:J39)</f>
        <v>1098.333333</v>
      </c>
      <c r="K35" s="135">
        <f>sum(K36:K39)</f>
        <v>0</v>
      </c>
      <c r="L35" s="136">
        <f>SUM(L36:L39)</f>
        <v>1098.333333</v>
      </c>
      <c r="M35" s="135">
        <f>sum(M36:M39)</f>
        <v>0</v>
      </c>
      <c r="N35" s="136">
        <f>SUM(N36:N39)</f>
        <v>1098.333333</v>
      </c>
      <c r="O35" s="135">
        <f>sum(O36:O39)</f>
        <v>0</v>
      </c>
      <c r="P35" s="136">
        <f>SUM(P36:P39)</f>
        <v>1098.333333</v>
      </c>
      <c r="Q35" s="135">
        <f>sum(Q36:Q39)</f>
        <v>0</v>
      </c>
      <c r="R35" s="136">
        <f t="shared" ref="R35:U35" si="15">SUM(R36:R39)</f>
        <v>1098.333333</v>
      </c>
      <c r="S35" s="136">
        <f t="shared" si="15"/>
        <v>1098.333333</v>
      </c>
      <c r="T35" s="136">
        <f t="shared" si="15"/>
        <v>1098.333333</v>
      </c>
      <c r="U35" s="136">
        <f t="shared" si="15"/>
        <v>1098.333333</v>
      </c>
      <c r="W35" s="141">
        <f>SUM(W36:W38)</f>
        <v>12700</v>
      </c>
      <c r="X35" s="112">
        <f t="shared" ref="X35:X39" si="16">SUM(E35,G35,I35,K35,M35,O35,Q35,R35:U35)</f>
        <v>5765.063333</v>
      </c>
      <c r="Y35" s="55"/>
      <c r="Z35" s="55"/>
      <c r="AA35" s="55"/>
      <c r="AB35" s="55"/>
      <c r="AC35" s="55"/>
      <c r="AD35" s="55"/>
    </row>
    <row r="36">
      <c r="A36" s="150" t="s">
        <v>107</v>
      </c>
      <c r="B36" s="144">
        <f>Mensuel!$G$24+Mensuel!$O$19</f>
        <v>848.3333333</v>
      </c>
      <c r="C36" s="115"/>
      <c r="D36" s="144">
        <f>Mensuel!$G$24+Mensuel!$O$19</f>
        <v>848.3333333</v>
      </c>
      <c r="E36" s="115"/>
      <c r="F36" s="144">
        <f>Mensuel!$G$24+Mensuel!$O$19</f>
        <v>848.3333333</v>
      </c>
      <c r="G36" s="115">
        <f>166+904</f>
        <v>1070</v>
      </c>
      <c r="H36" s="144">
        <f>Mensuel!$G$24+Mensuel!$O$19</f>
        <v>848.3333333</v>
      </c>
      <c r="I36" s="117"/>
      <c r="J36" s="143">
        <f>Mensuel!$G$24+Mensuel!$O$19</f>
        <v>848.3333333</v>
      </c>
      <c r="K36" s="117"/>
      <c r="L36" s="143">
        <f>Mensuel!$G$24+Mensuel!$O$19</f>
        <v>848.3333333</v>
      </c>
      <c r="M36" s="117"/>
      <c r="N36" s="144">
        <f>Mensuel!$G$24+Mensuel!$O$19</f>
        <v>848.3333333</v>
      </c>
      <c r="O36" s="119"/>
      <c r="P36" s="142">
        <f>Mensuel!$G$24+Mensuel!$O$19</f>
        <v>848.3333333</v>
      </c>
      <c r="Q36" s="115"/>
      <c r="R36" s="144">
        <f>Mensuel!$G$24+Mensuel!$O$19</f>
        <v>848.3333333</v>
      </c>
      <c r="S36" s="144">
        <f>Mensuel!$G$24+Mensuel!$O$19</f>
        <v>848.3333333</v>
      </c>
      <c r="T36" s="144">
        <f>Mensuel!$G$24+Mensuel!$O$19</f>
        <v>848.3333333</v>
      </c>
      <c r="U36" s="144">
        <f>Mensuel!$G$24+Mensuel!$O$19</f>
        <v>848.3333333</v>
      </c>
      <c r="W36" s="121">
        <f t="shared" ref="W36:W38" si="17">SUM(B36,D36,F36,H36,J36,L36,N36,P36,R36,S36,T36,U36)</f>
        <v>10180</v>
      </c>
      <c r="X36" s="112">
        <f t="shared" si="16"/>
        <v>4463.333333</v>
      </c>
      <c r="Y36" s="55"/>
      <c r="Z36" s="55"/>
      <c r="AA36" s="55"/>
      <c r="AB36" s="55"/>
      <c r="AC36" s="55"/>
      <c r="AD36" s="55"/>
    </row>
    <row r="37">
      <c r="A37" s="150" t="s">
        <v>108</v>
      </c>
      <c r="B37" s="97">
        <f>Mensuel!$K$17</f>
        <v>100</v>
      </c>
      <c r="C37" s="146"/>
      <c r="D37" s="98">
        <f>Mensuel!$K$17</f>
        <v>100</v>
      </c>
      <c r="E37" s="146"/>
      <c r="F37" s="98">
        <f>Mensuel!$K$17</f>
        <v>100</v>
      </c>
      <c r="G37" s="115">
        <f>15.08+17.24+46.66+18.96</f>
        <v>97.94</v>
      </c>
      <c r="H37" s="98">
        <f>Mensuel!$K$17</f>
        <v>100</v>
      </c>
      <c r="I37" s="117"/>
      <c r="J37" s="98">
        <f>Mensuel!$K$17</f>
        <v>100</v>
      </c>
      <c r="K37" s="117"/>
      <c r="L37" s="98">
        <f>Mensuel!$K$17</f>
        <v>100</v>
      </c>
      <c r="M37" s="117"/>
      <c r="N37" s="131">
        <f>Mensuel!$K$17</f>
        <v>100</v>
      </c>
      <c r="O37" s="52"/>
      <c r="P37" s="97">
        <f>Mensuel!$K$17</f>
        <v>100</v>
      </c>
      <c r="Q37" s="146"/>
      <c r="R37" s="98">
        <f>Mensuel!$K$17</f>
        <v>100</v>
      </c>
      <c r="S37" s="98">
        <f>Mensuel!$K$17</f>
        <v>100</v>
      </c>
      <c r="T37" s="98">
        <f>Mensuel!$K$17</f>
        <v>100</v>
      </c>
      <c r="U37" s="91">
        <f>Mensuel!$K$17</f>
        <v>100</v>
      </c>
      <c r="W37" s="121">
        <f t="shared" si="17"/>
        <v>1200</v>
      </c>
      <c r="X37" s="112">
        <f t="shared" si="16"/>
        <v>497.94</v>
      </c>
      <c r="Y37" s="55"/>
      <c r="Z37" s="55"/>
      <c r="AA37" s="55"/>
      <c r="AB37" s="55"/>
      <c r="AC37" s="55"/>
      <c r="AD37" s="55"/>
    </row>
    <row r="38">
      <c r="A38" s="150" t="s">
        <v>109</v>
      </c>
      <c r="B38" s="142">
        <f>Mensuel!$G$26</f>
        <v>110</v>
      </c>
      <c r="C38" s="115"/>
      <c r="D38" s="143">
        <f>Mensuel!$G$26</f>
        <v>110</v>
      </c>
      <c r="E38" s="115"/>
      <c r="F38" s="143">
        <f>Mensuel!$G$26</f>
        <v>110</v>
      </c>
      <c r="G38" s="115">
        <f>203.79-29.8-29.8</f>
        <v>144.19</v>
      </c>
      <c r="H38" s="143">
        <f>Mensuel!$G$26</f>
        <v>110</v>
      </c>
      <c r="I38" s="117"/>
      <c r="J38" s="143">
        <f>Mensuel!$G$26</f>
        <v>110</v>
      </c>
      <c r="K38" s="117"/>
      <c r="L38" s="143">
        <f>Mensuel!$G$26</f>
        <v>110</v>
      </c>
      <c r="M38" s="117"/>
      <c r="N38" s="144">
        <f>Mensuel!$G$26</f>
        <v>110</v>
      </c>
      <c r="O38" s="119"/>
      <c r="P38" s="142">
        <f>Mensuel!$G$26</f>
        <v>110</v>
      </c>
      <c r="Q38" s="115"/>
      <c r="R38" s="143">
        <f>Mensuel!$G$26</f>
        <v>110</v>
      </c>
      <c r="S38" s="143">
        <f>Mensuel!$G$26</f>
        <v>110</v>
      </c>
      <c r="T38" s="143">
        <f>Mensuel!$G$26</f>
        <v>110</v>
      </c>
      <c r="U38" s="145">
        <f>Mensuel!$G$26</f>
        <v>110</v>
      </c>
      <c r="W38" s="121">
        <f t="shared" si="17"/>
        <v>1320</v>
      </c>
      <c r="X38" s="112">
        <f t="shared" si="16"/>
        <v>584.19</v>
      </c>
      <c r="Y38" s="55"/>
      <c r="Z38" s="55"/>
      <c r="AA38" s="55"/>
      <c r="AB38" s="55"/>
      <c r="AC38" s="55"/>
      <c r="AD38" s="55"/>
    </row>
    <row r="39">
      <c r="A39" s="151" t="s">
        <v>110</v>
      </c>
      <c r="B39" s="142"/>
      <c r="C39" s="115"/>
      <c r="D39" s="143"/>
      <c r="E39" s="115"/>
      <c r="F39" s="143">
        <f>Mensuel!$O$19</f>
        <v>40</v>
      </c>
      <c r="G39" s="115">
        <f>29.8*2</f>
        <v>59.6</v>
      </c>
      <c r="H39" s="143">
        <f>Mensuel!$O$19</f>
        <v>40</v>
      </c>
      <c r="I39" s="117"/>
      <c r="J39" s="143">
        <f>Mensuel!$O$19</f>
        <v>40</v>
      </c>
      <c r="K39" s="117"/>
      <c r="L39" s="143">
        <f>Mensuel!$O$19</f>
        <v>40</v>
      </c>
      <c r="M39" s="117"/>
      <c r="N39" s="143">
        <f>Mensuel!$O$19</f>
        <v>40</v>
      </c>
      <c r="O39" s="119"/>
      <c r="P39" s="143">
        <f>Mensuel!$O$19</f>
        <v>40</v>
      </c>
      <c r="Q39" s="115"/>
      <c r="R39" s="143">
        <f>Mensuel!$O$19</f>
        <v>40</v>
      </c>
      <c r="S39" s="143">
        <f>Mensuel!$O$19</f>
        <v>40</v>
      </c>
      <c r="T39" s="143">
        <f>Mensuel!$O$19</f>
        <v>40</v>
      </c>
      <c r="U39" s="143">
        <f>Mensuel!$O$19</f>
        <v>40</v>
      </c>
      <c r="W39" s="121"/>
      <c r="X39" s="112">
        <f t="shared" si="16"/>
        <v>219.6</v>
      </c>
      <c r="Y39" s="55"/>
      <c r="Z39" s="55"/>
      <c r="AA39" s="55"/>
      <c r="AB39" s="55"/>
      <c r="AC39" s="55"/>
      <c r="AD39" s="55"/>
    </row>
    <row r="40">
      <c r="A40" s="150"/>
      <c r="B40" s="97"/>
      <c r="C40" s="98"/>
      <c r="D40" s="98"/>
      <c r="E40" s="98"/>
      <c r="F40" s="98"/>
      <c r="G40" s="98"/>
      <c r="H40" s="98"/>
      <c r="I40" s="91"/>
      <c r="J40" s="98"/>
      <c r="K40" s="91"/>
      <c r="L40" s="98"/>
      <c r="M40" s="91"/>
      <c r="N40" s="131"/>
      <c r="O40" s="132"/>
      <c r="P40" s="97"/>
      <c r="Q40" s="98"/>
      <c r="R40" s="98"/>
      <c r="S40" s="98"/>
      <c r="T40" s="98"/>
      <c r="U40" s="91"/>
      <c r="W40" s="121"/>
      <c r="X40" s="112"/>
      <c r="Y40" s="55"/>
      <c r="Z40" s="55"/>
      <c r="AA40" s="55"/>
      <c r="AB40" s="55"/>
      <c r="AC40" s="55"/>
      <c r="AD40" s="55"/>
    </row>
    <row r="41">
      <c r="A41" s="149" t="s">
        <v>111</v>
      </c>
      <c r="B41" s="134">
        <f>SUM(B42:B46)</f>
        <v>158.71</v>
      </c>
      <c r="C41" s="135">
        <f>sum(C42:C46)</f>
        <v>157.64</v>
      </c>
      <c r="D41" s="136">
        <f t="shared" ref="D41:F41" si="18">SUM(D42:D46)</f>
        <v>158.71</v>
      </c>
      <c r="E41" s="135">
        <f t="shared" si="18"/>
        <v>157.64</v>
      </c>
      <c r="F41" s="136">
        <f t="shared" si="18"/>
        <v>158.71</v>
      </c>
      <c r="G41" s="135">
        <f>sum(G42:G46)</f>
        <v>157.64</v>
      </c>
      <c r="H41" s="136">
        <f>SUM(H42:H46)</f>
        <v>158.71</v>
      </c>
      <c r="I41" s="137">
        <f>sum(I42:I46)</f>
        <v>0</v>
      </c>
      <c r="J41" s="136">
        <f>SUM(J42:J46)</f>
        <v>158.71</v>
      </c>
      <c r="K41" s="137">
        <f>sum(K42:K46)</f>
        <v>0</v>
      </c>
      <c r="L41" s="136">
        <f>SUM(L42:L46)</f>
        <v>158.71</v>
      </c>
      <c r="M41" s="137">
        <f>sum(M42:M46)</f>
        <v>0</v>
      </c>
      <c r="N41" s="138">
        <f>SUM(N42:N46)</f>
        <v>158.71</v>
      </c>
      <c r="O41" s="139">
        <f>sum(O42:O46)</f>
        <v>0</v>
      </c>
      <c r="P41" s="134">
        <f>SUM(P42:P46)</f>
        <v>158.71</v>
      </c>
      <c r="Q41" s="135">
        <f>sum(Q42:Q46)</f>
        <v>0</v>
      </c>
      <c r="R41" s="136">
        <f t="shared" ref="R41:U41" si="19">SUM(R42:R46)</f>
        <v>158.71</v>
      </c>
      <c r="S41" s="136">
        <f t="shared" si="19"/>
        <v>158.71</v>
      </c>
      <c r="T41" s="136">
        <f t="shared" si="19"/>
        <v>158.71</v>
      </c>
      <c r="U41" s="140">
        <f t="shared" si="19"/>
        <v>158.71</v>
      </c>
      <c r="W41" s="141">
        <f>SUM(W42:W46)</f>
        <v>1904.52</v>
      </c>
      <c r="X41" s="112">
        <f t="shared" ref="X41:X46" si="20">SUM(E41,G41,I41,K41,M41,O41,Q41,R41:U41)</f>
        <v>950.12</v>
      </c>
      <c r="Y41" s="55"/>
      <c r="Z41" s="55"/>
      <c r="AA41" s="55"/>
      <c r="AB41" s="55"/>
      <c r="AC41" s="55"/>
      <c r="AD41" s="55"/>
    </row>
    <row r="42">
      <c r="A42" s="150" t="s">
        <v>20</v>
      </c>
      <c r="B42" s="97">
        <f>Mensuel!$G$16</f>
        <v>24.13</v>
      </c>
      <c r="C42" s="146">
        <v>24.13</v>
      </c>
      <c r="D42" s="98">
        <f>Mensuel!$G$16</f>
        <v>24.13</v>
      </c>
      <c r="E42" s="146">
        <v>24.13</v>
      </c>
      <c r="F42" s="98">
        <f>Mensuel!$G$16</f>
        <v>24.13</v>
      </c>
      <c r="G42" s="146">
        <v>24.13</v>
      </c>
      <c r="H42" s="98">
        <f>Mensuel!$G$16</f>
        <v>24.13</v>
      </c>
      <c r="I42" s="117"/>
      <c r="J42" s="98">
        <f>Mensuel!$G$16</f>
        <v>24.13</v>
      </c>
      <c r="K42" s="117"/>
      <c r="L42" s="98">
        <f>Mensuel!$G$16</f>
        <v>24.13</v>
      </c>
      <c r="M42" s="117"/>
      <c r="N42" s="131">
        <f>Mensuel!$G$16</f>
        <v>24.13</v>
      </c>
      <c r="O42" s="119"/>
      <c r="P42" s="97">
        <f>Mensuel!$G$16</f>
        <v>24.13</v>
      </c>
      <c r="Q42" s="115"/>
      <c r="R42" s="98">
        <f>Mensuel!$G$16</f>
        <v>24.13</v>
      </c>
      <c r="S42" s="98">
        <f>Mensuel!$G$16</f>
        <v>24.13</v>
      </c>
      <c r="T42" s="98">
        <f>Mensuel!$G$16</f>
        <v>24.13</v>
      </c>
      <c r="U42" s="91">
        <f>Mensuel!$G$16</f>
        <v>24.13</v>
      </c>
      <c r="W42" s="121">
        <f t="shared" ref="W42:W46" si="21">SUM(B42,D42,F42,H42,J42,L42,N42,P42,R42,S42,T42,U42)</f>
        <v>289.56</v>
      </c>
      <c r="X42" s="112">
        <f t="shared" si="20"/>
        <v>144.78</v>
      </c>
      <c r="Y42" s="55"/>
      <c r="Z42" s="55"/>
      <c r="AA42" s="55"/>
      <c r="AB42" s="55"/>
      <c r="AC42" s="55"/>
      <c r="AD42" s="55"/>
    </row>
    <row r="43">
      <c r="A43" s="150" t="s">
        <v>24</v>
      </c>
      <c r="B43" s="97">
        <f>Mensuel!$G$17</f>
        <v>31.02</v>
      </c>
      <c r="C43" s="115">
        <v>31.02</v>
      </c>
      <c r="D43" s="98">
        <f>Mensuel!$G$17</f>
        <v>31.02</v>
      </c>
      <c r="E43" s="115">
        <v>31.02</v>
      </c>
      <c r="F43" s="98">
        <f>Mensuel!$G$17</f>
        <v>31.02</v>
      </c>
      <c r="G43" s="115">
        <v>31.02</v>
      </c>
      <c r="H43" s="98">
        <f>Mensuel!$G$17</f>
        <v>31.02</v>
      </c>
      <c r="I43" s="117"/>
      <c r="J43" s="98">
        <f>Mensuel!$G$17</f>
        <v>31.02</v>
      </c>
      <c r="K43" s="117"/>
      <c r="L43" s="98">
        <f>Mensuel!$G$17</f>
        <v>31.02</v>
      </c>
      <c r="M43" s="117"/>
      <c r="N43" s="131">
        <f>Mensuel!$G$17</f>
        <v>31.02</v>
      </c>
      <c r="O43" s="119"/>
      <c r="P43" s="97">
        <f>Mensuel!$G$17</f>
        <v>31.02</v>
      </c>
      <c r="Q43" s="115"/>
      <c r="R43" s="98">
        <f>Mensuel!$G$17</f>
        <v>31.02</v>
      </c>
      <c r="S43" s="98">
        <f>Mensuel!$G$17</f>
        <v>31.02</v>
      </c>
      <c r="T43" s="98">
        <f>Mensuel!$G$17</f>
        <v>31.02</v>
      </c>
      <c r="U43" s="91">
        <f>Mensuel!$G$17</f>
        <v>31.02</v>
      </c>
      <c r="W43" s="121">
        <f t="shared" si="21"/>
        <v>372.24</v>
      </c>
      <c r="X43" s="112">
        <f t="shared" si="20"/>
        <v>186.12</v>
      </c>
      <c r="Y43" s="55"/>
      <c r="Z43" s="55"/>
      <c r="AA43" s="55"/>
      <c r="AB43" s="55"/>
      <c r="AC43" s="55"/>
      <c r="AD43" s="55"/>
    </row>
    <row r="44">
      <c r="A44" s="150" t="s">
        <v>30</v>
      </c>
      <c r="B44" s="97">
        <f>Mensuel!$G$19</f>
        <v>11.49</v>
      </c>
      <c r="C44" s="115">
        <v>11.49</v>
      </c>
      <c r="D44" s="98">
        <f>Mensuel!$G$19</f>
        <v>11.49</v>
      </c>
      <c r="E44" s="115">
        <v>11.49</v>
      </c>
      <c r="F44" s="98">
        <f>Mensuel!$G$19</f>
        <v>11.49</v>
      </c>
      <c r="G44" s="115">
        <v>11.49</v>
      </c>
      <c r="H44" s="98">
        <f>Mensuel!$G$19</f>
        <v>11.49</v>
      </c>
      <c r="I44" s="117"/>
      <c r="J44" s="98">
        <f>Mensuel!$G$19</f>
        <v>11.49</v>
      </c>
      <c r="K44" s="117"/>
      <c r="L44" s="98">
        <f>Mensuel!$G$19</f>
        <v>11.49</v>
      </c>
      <c r="M44" s="117"/>
      <c r="N44" s="131">
        <f>Mensuel!$G$19</f>
        <v>11.49</v>
      </c>
      <c r="O44" s="119"/>
      <c r="P44" s="97">
        <f>Mensuel!$G$19</f>
        <v>11.49</v>
      </c>
      <c r="Q44" s="115"/>
      <c r="R44" s="98">
        <f>Mensuel!$G$19</f>
        <v>11.49</v>
      </c>
      <c r="S44" s="98">
        <f>Mensuel!$G$19</f>
        <v>11.49</v>
      </c>
      <c r="T44" s="98">
        <f>Mensuel!$G$19</f>
        <v>11.49</v>
      </c>
      <c r="U44" s="91">
        <f>Mensuel!$G$19</f>
        <v>11.49</v>
      </c>
      <c r="W44" s="121">
        <f t="shared" si="21"/>
        <v>137.88</v>
      </c>
      <c r="X44" s="112">
        <f t="shared" si="20"/>
        <v>68.94</v>
      </c>
      <c r="Y44" s="55"/>
      <c r="Z44" s="55"/>
      <c r="AA44" s="55"/>
      <c r="AB44" s="55"/>
      <c r="AC44" s="55"/>
      <c r="AD44" s="55"/>
    </row>
    <row r="45">
      <c r="A45" s="150" t="s">
        <v>112</v>
      </c>
      <c r="B45" s="97">
        <f>Mensuel!$K$15</f>
        <v>85.07</v>
      </c>
      <c r="C45" s="146">
        <f>22+19+43</f>
        <v>84</v>
      </c>
      <c r="D45" s="97">
        <f>Mensuel!$K$15</f>
        <v>85.07</v>
      </c>
      <c r="E45" s="146">
        <f>22+19+43</f>
        <v>84</v>
      </c>
      <c r="F45" s="97">
        <f>Mensuel!$K$15</f>
        <v>85.07</v>
      </c>
      <c r="G45" s="146">
        <f>22+19+43</f>
        <v>84</v>
      </c>
      <c r="H45" s="97">
        <f>Mensuel!$K$15</f>
        <v>85.07</v>
      </c>
      <c r="I45" s="147"/>
      <c r="J45" s="97">
        <f>Mensuel!$K$15</f>
        <v>85.07</v>
      </c>
      <c r="K45" s="147"/>
      <c r="L45" s="97">
        <f>Mensuel!$K$15</f>
        <v>85.07</v>
      </c>
      <c r="M45" s="147"/>
      <c r="N45" s="97">
        <f>Mensuel!$K$15</f>
        <v>85.07</v>
      </c>
      <c r="O45" s="155"/>
      <c r="P45" s="97">
        <f>Mensuel!$K$15</f>
        <v>85.07</v>
      </c>
      <c r="Q45" s="146"/>
      <c r="R45" s="97">
        <f>Mensuel!$K$15</f>
        <v>85.07</v>
      </c>
      <c r="S45" s="97">
        <f>Mensuel!$K$15</f>
        <v>85.07</v>
      </c>
      <c r="T45" s="97">
        <f>Mensuel!$K$15</f>
        <v>85.07</v>
      </c>
      <c r="U45" s="97">
        <f>Mensuel!$K$15</f>
        <v>85.07</v>
      </c>
      <c r="W45" s="121">
        <f t="shared" si="21"/>
        <v>1020.84</v>
      </c>
      <c r="X45" s="112">
        <f t="shared" si="20"/>
        <v>508.28</v>
      </c>
      <c r="Y45" s="55"/>
      <c r="Z45" s="55"/>
      <c r="AA45" s="55"/>
      <c r="AB45" s="55"/>
      <c r="AC45" s="55"/>
      <c r="AD45" s="55"/>
    </row>
    <row r="46">
      <c r="A46" s="151" t="s">
        <v>113</v>
      </c>
      <c r="B46" s="97">
        <f>Mensuel!$G$18</f>
        <v>7</v>
      </c>
      <c r="C46" s="115">
        <v>7.0</v>
      </c>
      <c r="D46" s="98">
        <f>Mensuel!$G$18</f>
        <v>7</v>
      </c>
      <c r="E46" s="115">
        <v>7.0</v>
      </c>
      <c r="F46" s="98">
        <f>Mensuel!$G$18</f>
        <v>7</v>
      </c>
      <c r="G46" s="115">
        <v>7.0</v>
      </c>
      <c r="H46" s="98">
        <f>Mensuel!$G$18</f>
        <v>7</v>
      </c>
      <c r="I46" s="117"/>
      <c r="J46" s="98">
        <f>Mensuel!$G$18</f>
        <v>7</v>
      </c>
      <c r="K46" s="117"/>
      <c r="L46" s="98">
        <f>Mensuel!$G$18</f>
        <v>7</v>
      </c>
      <c r="M46" s="117"/>
      <c r="N46" s="131">
        <f>Mensuel!$G$18</f>
        <v>7</v>
      </c>
      <c r="O46" s="119"/>
      <c r="P46" s="97">
        <f>Mensuel!$G$18</f>
        <v>7</v>
      </c>
      <c r="Q46" s="115"/>
      <c r="R46" s="98">
        <f>Mensuel!$G$18</f>
        <v>7</v>
      </c>
      <c r="S46" s="98">
        <f>Mensuel!$G$18</f>
        <v>7</v>
      </c>
      <c r="T46" s="98">
        <f>Mensuel!$G$18</f>
        <v>7</v>
      </c>
      <c r="U46" s="91">
        <f>Mensuel!$G$18</f>
        <v>7</v>
      </c>
      <c r="W46" s="121">
        <f t="shared" si="21"/>
        <v>84</v>
      </c>
      <c r="X46" s="112">
        <f t="shared" si="20"/>
        <v>42</v>
      </c>
      <c r="Y46" s="55"/>
      <c r="Z46" s="55"/>
      <c r="AA46" s="55"/>
      <c r="AB46" s="55"/>
      <c r="AC46" s="55"/>
      <c r="AD46" s="55"/>
    </row>
    <row r="47">
      <c r="A47" s="150"/>
      <c r="B47" s="97"/>
      <c r="C47" s="98"/>
      <c r="D47" s="98"/>
      <c r="E47" s="98"/>
      <c r="F47" s="98"/>
      <c r="G47" s="98"/>
      <c r="H47" s="98"/>
      <c r="I47" s="91"/>
      <c r="J47" s="98"/>
      <c r="K47" s="91"/>
      <c r="L47" s="98"/>
      <c r="M47" s="91"/>
      <c r="N47" s="131"/>
      <c r="O47" s="132"/>
      <c r="P47" s="97"/>
      <c r="Q47" s="98"/>
      <c r="R47" s="98"/>
      <c r="S47" s="98"/>
      <c r="T47" s="98"/>
      <c r="U47" s="91"/>
      <c r="W47" s="121"/>
      <c r="X47" s="112"/>
      <c r="Y47" s="55"/>
      <c r="Z47" s="55"/>
      <c r="AA47" s="55"/>
      <c r="AB47" s="55"/>
      <c r="AC47" s="55"/>
      <c r="AD47" s="55"/>
    </row>
    <row r="48">
      <c r="A48" s="149" t="s">
        <v>114</v>
      </c>
      <c r="B48" s="134">
        <f t="shared" ref="B48:D48" si="22">SUM(B49:B75)</f>
        <v>213</v>
      </c>
      <c r="C48" s="135">
        <f t="shared" si="22"/>
        <v>310</v>
      </c>
      <c r="D48" s="136">
        <f t="shared" si="22"/>
        <v>0</v>
      </c>
      <c r="E48" s="135">
        <f>SUM(E49:E59)</f>
        <v>316</v>
      </c>
      <c r="F48" s="136">
        <f t="shared" ref="F48:U48" si="23">SUM(F49:F75)</f>
        <v>1417</v>
      </c>
      <c r="G48" s="135">
        <f t="shared" si="23"/>
        <v>1676</v>
      </c>
      <c r="H48" s="136">
        <f t="shared" si="23"/>
        <v>1520</v>
      </c>
      <c r="I48" s="137">
        <f t="shared" si="23"/>
        <v>0</v>
      </c>
      <c r="J48" s="136">
        <f t="shared" si="23"/>
        <v>1130</v>
      </c>
      <c r="K48" s="137">
        <f t="shared" si="23"/>
        <v>0</v>
      </c>
      <c r="L48" s="136">
        <f t="shared" si="23"/>
        <v>400</v>
      </c>
      <c r="M48" s="137">
        <f t="shared" si="23"/>
        <v>0</v>
      </c>
      <c r="N48" s="138">
        <f t="shared" si="23"/>
        <v>0</v>
      </c>
      <c r="O48" s="139">
        <f t="shared" si="23"/>
        <v>0</v>
      </c>
      <c r="P48" s="134">
        <f t="shared" si="23"/>
        <v>0</v>
      </c>
      <c r="Q48" s="135">
        <f t="shared" si="23"/>
        <v>0</v>
      </c>
      <c r="R48" s="136">
        <f t="shared" si="23"/>
        <v>0</v>
      </c>
      <c r="S48" s="136">
        <f t="shared" si="23"/>
        <v>0</v>
      </c>
      <c r="T48" s="136">
        <f t="shared" si="23"/>
        <v>0</v>
      </c>
      <c r="U48" s="140">
        <f t="shared" si="23"/>
        <v>50</v>
      </c>
      <c r="W48" s="141">
        <f>SUM(W49:W59)</f>
        <v>3934</v>
      </c>
      <c r="X48" s="112">
        <f t="shared" ref="X48:X50" si="24">SUM(E48,G48,I48,K48,M48,O48,Q48,R48:U48)</f>
        <v>2042</v>
      </c>
      <c r="Y48" s="55"/>
      <c r="Z48" s="55"/>
      <c r="AA48" s="55"/>
      <c r="AB48" s="55"/>
      <c r="AC48" s="55"/>
      <c r="AD48" s="55"/>
    </row>
    <row r="49">
      <c r="A49" s="150" t="s">
        <v>33</v>
      </c>
      <c r="B49" s="97">
        <v>48.0</v>
      </c>
      <c r="C49" s="146"/>
      <c r="D49" s="143"/>
      <c r="E49" s="115"/>
      <c r="F49" s="143">
        <v>50.0</v>
      </c>
      <c r="G49" s="115">
        <v>50.0</v>
      </c>
      <c r="H49" s="143"/>
      <c r="I49" s="117"/>
      <c r="J49" s="143">
        <v>50.0</v>
      </c>
      <c r="K49" s="117"/>
      <c r="L49" s="143"/>
      <c r="M49" s="117"/>
      <c r="N49" s="144"/>
      <c r="O49" s="119"/>
      <c r="P49" s="142"/>
      <c r="Q49" s="115"/>
      <c r="R49" s="143"/>
      <c r="S49" s="143"/>
      <c r="T49" s="143"/>
      <c r="U49" s="145">
        <v>50.0</v>
      </c>
      <c r="W49" s="121">
        <f t="shared" ref="W49:W59" si="25">SUM(B49,D49,F49,H49,J49,L49,N49,P49,R49,S49,T49,U49)</f>
        <v>198</v>
      </c>
      <c r="X49" s="112">
        <f t="shared" si="24"/>
        <v>100</v>
      </c>
      <c r="Y49" s="55"/>
      <c r="Z49" s="55"/>
      <c r="AA49" s="55"/>
      <c r="AB49" s="55"/>
      <c r="AC49" s="55"/>
      <c r="AD49" s="55"/>
    </row>
    <row r="50">
      <c r="A50" s="151" t="s">
        <v>115</v>
      </c>
      <c r="B50" s="97"/>
      <c r="C50" s="146"/>
      <c r="D50" s="143"/>
      <c r="E50" s="115"/>
      <c r="F50" s="143"/>
      <c r="G50" s="115">
        <f>33+80</f>
        <v>113</v>
      </c>
      <c r="H50" s="143"/>
      <c r="I50" s="117"/>
      <c r="J50" s="98"/>
      <c r="K50" s="117"/>
      <c r="L50" s="143"/>
      <c r="M50" s="117"/>
      <c r="N50" s="144"/>
      <c r="O50" s="119"/>
      <c r="P50" s="97"/>
      <c r="Q50" s="115"/>
      <c r="R50" s="98"/>
      <c r="S50" s="143"/>
      <c r="T50" s="98"/>
      <c r="U50" s="91"/>
      <c r="W50" s="121">
        <f t="shared" si="25"/>
        <v>0</v>
      </c>
      <c r="X50" s="112">
        <f t="shared" si="24"/>
        <v>113</v>
      </c>
      <c r="Y50" s="55"/>
      <c r="Z50" s="55"/>
      <c r="AA50" s="55"/>
      <c r="AB50" s="55"/>
      <c r="AC50" s="55"/>
      <c r="AD50" s="55"/>
    </row>
    <row r="51">
      <c r="A51" s="151" t="s">
        <v>116</v>
      </c>
      <c r="B51" s="97"/>
      <c r="C51" s="146"/>
      <c r="D51" s="143"/>
      <c r="E51" s="115"/>
      <c r="F51" s="98"/>
      <c r="G51" s="146"/>
      <c r="H51" s="143"/>
      <c r="I51" s="147"/>
      <c r="J51" s="98"/>
      <c r="K51" s="147"/>
      <c r="L51" s="98"/>
      <c r="M51" s="147"/>
      <c r="N51" s="131"/>
      <c r="O51" s="155"/>
      <c r="P51" s="97"/>
      <c r="Q51" s="146"/>
      <c r="R51" s="98"/>
      <c r="S51" s="143"/>
      <c r="T51" s="98"/>
      <c r="U51" s="91"/>
      <c r="W51" s="121">
        <f t="shared" si="25"/>
        <v>0</v>
      </c>
      <c r="X51" s="112"/>
      <c r="Y51" s="55"/>
      <c r="Z51" s="55"/>
      <c r="AA51" s="55"/>
      <c r="AB51" s="55"/>
      <c r="AC51" s="55"/>
      <c r="AD51" s="55"/>
    </row>
    <row r="52">
      <c r="A52" s="150" t="s">
        <v>117</v>
      </c>
      <c r="B52" s="97"/>
      <c r="C52" s="146"/>
      <c r="D52" s="143"/>
      <c r="E52" s="115"/>
      <c r="F52" s="143">
        <v>426.0</v>
      </c>
      <c r="G52" s="115">
        <f>256+170</f>
        <v>426</v>
      </c>
      <c r="H52" s="143">
        <f>170+350</f>
        <v>520</v>
      </c>
      <c r="I52" s="117"/>
      <c r="J52" s="143"/>
      <c r="K52" s="117"/>
      <c r="L52" s="98"/>
      <c r="M52" s="117"/>
      <c r="N52" s="131"/>
      <c r="O52" s="119"/>
      <c r="P52" s="97"/>
      <c r="Q52" s="115"/>
      <c r="R52" s="143"/>
      <c r="S52" s="143"/>
      <c r="T52" s="98"/>
      <c r="U52" s="91"/>
      <c r="W52" s="121">
        <f t="shared" si="25"/>
        <v>946</v>
      </c>
      <c r="X52" s="112">
        <f t="shared" ref="X52:X59" si="26">SUM(E52,G52,I52,K52,M52,O52,Q52,R52:U52)</f>
        <v>426</v>
      </c>
      <c r="Y52" s="55"/>
      <c r="Z52" s="55"/>
      <c r="AA52" s="55"/>
      <c r="AB52" s="55"/>
      <c r="AC52" s="55"/>
      <c r="AD52" s="55"/>
    </row>
    <row r="53">
      <c r="A53" s="150" t="s">
        <v>118</v>
      </c>
      <c r="B53" s="97"/>
      <c r="C53" s="146"/>
      <c r="D53" s="143"/>
      <c r="E53" s="115"/>
      <c r="F53" s="143">
        <v>225.0</v>
      </c>
      <c r="G53" s="115">
        <v>225.0</v>
      </c>
      <c r="H53" s="143"/>
      <c r="I53" s="117"/>
      <c r="J53" s="98"/>
      <c r="K53" s="117"/>
      <c r="L53" s="98"/>
      <c r="M53" s="117"/>
      <c r="N53" s="131"/>
      <c r="O53" s="119"/>
      <c r="P53" s="97"/>
      <c r="Q53" s="115"/>
      <c r="R53" s="143"/>
      <c r="S53" s="98"/>
      <c r="T53" s="98"/>
      <c r="U53" s="91"/>
      <c r="W53" s="121">
        <f t="shared" si="25"/>
        <v>225</v>
      </c>
      <c r="X53" s="112">
        <f t="shared" si="26"/>
        <v>225</v>
      </c>
      <c r="Y53" s="55"/>
      <c r="Z53" s="55"/>
      <c r="AA53" s="55"/>
      <c r="AB53" s="55"/>
      <c r="AC53" s="55"/>
      <c r="AD53" s="55"/>
    </row>
    <row r="54">
      <c r="A54" s="150" t="s">
        <v>119</v>
      </c>
      <c r="B54" s="142"/>
      <c r="C54" s="115">
        <v>310.0</v>
      </c>
      <c r="D54" s="143"/>
      <c r="E54" s="115">
        <v>316.0</v>
      </c>
      <c r="F54" s="143"/>
      <c r="G54" s="115"/>
      <c r="H54" s="143"/>
      <c r="I54" s="117"/>
      <c r="J54" s="143"/>
      <c r="K54" s="117"/>
      <c r="L54" s="143"/>
      <c r="M54" s="117"/>
      <c r="N54" s="144"/>
      <c r="O54" s="119"/>
      <c r="P54" s="142"/>
      <c r="Q54" s="115"/>
      <c r="R54" s="98"/>
      <c r="S54" s="98"/>
      <c r="T54" s="98"/>
      <c r="U54" s="91"/>
      <c r="W54" s="121">
        <f t="shared" si="25"/>
        <v>0</v>
      </c>
      <c r="X54" s="112">
        <f t="shared" si="26"/>
        <v>316</v>
      </c>
      <c r="Y54" s="55"/>
      <c r="Z54" s="55"/>
      <c r="AA54" s="55"/>
      <c r="AB54" s="55"/>
      <c r="AC54" s="55"/>
      <c r="AD54" s="55"/>
    </row>
    <row r="55">
      <c r="A55" s="151" t="s">
        <v>120</v>
      </c>
      <c r="B55" s="97"/>
      <c r="C55" s="146"/>
      <c r="D55" s="98"/>
      <c r="E55" s="146"/>
      <c r="F55" s="98"/>
      <c r="G55" s="146"/>
      <c r="H55" s="143">
        <v>1000.0</v>
      </c>
      <c r="I55" s="147"/>
      <c r="J55" s="143">
        <v>1000.0</v>
      </c>
      <c r="K55" s="147"/>
      <c r="L55" s="143"/>
      <c r="M55" s="147"/>
      <c r="N55" s="144"/>
      <c r="O55" s="52"/>
      <c r="P55" s="142"/>
      <c r="Q55" s="146"/>
      <c r="R55" s="98"/>
      <c r="S55" s="98"/>
      <c r="T55" s="98"/>
      <c r="U55" s="91"/>
      <c r="W55" s="121">
        <f t="shared" si="25"/>
        <v>2000</v>
      </c>
      <c r="X55" s="112">
        <f t="shared" si="26"/>
        <v>0</v>
      </c>
      <c r="Y55" s="55"/>
      <c r="Z55" s="55"/>
      <c r="AA55" s="55"/>
      <c r="AB55" s="55"/>
      <c r="AC55" s="55"/>
      <c r="AD55" s="55"/>
    </row>
    <row r="56">
      <c r="A56" s="150" t="s">
        <v>121</v>
      </c>
      <c r="B56" s="97"/>
      <c r="C56" s="146"/>
      <c r="D56" s="143"/>
      <c r="E56" s="115"/>
      <c r="F56" s="143"/>
      <c r="G56" s="115"/>
      <c r="H56" s="98"/>
      <c r="I56" s="117"/>
      <c r="J56" s="143"/>
      <c r="K56" s="117"/>
      <c r="L56" s="143"/>
      <c r="M56" s="117"/>
      <c r="N56" s="144"/>
      <c r="O56" s="119"/>
      <c r="P56" s="142"/>
      <c r="Q56" s="115"/>
      <c r="R56" s="98"/>
      <c r="S56" s="98"/>
      <c r="T56" s="98"/>
      <c r="U56" s="91"/>
      <c r="W56" s="121">
        <f t="shared" si="25"/>
        <v>0</v>
      </c>
      <c r="X56" s="112">
        <f t="shared" si="26"/>
        <v>0</v>
      </c>
      <c r="Y56" s="55"/>
      <c r="Z56" s="55"/>
      <c r="AA56" s="55"/>
      <c r="AB56" s="55"/>
      <c r="AC56" s="55"/>
      <c r="AD56" s="55"/>
    </row>
    <row r="57">
      <c r="A57" s="150" t="s">
        <v>122</v>
      </c>
      <c r="B57" s="97">
        <v>165.0</v>
      </c>
      <c r="C57" s="146"/>
      <c r="D57" s="143"/>
      <c r="E57" s="115"/>
      <c r="F57" s="143"/>
      <c r="G57" s="115">
        <v>20.0</v>
      </c>
      <c r="H57" s="143"/>
      <c r="I57" s="117"/>
      <c r="J57" s="98"/>
      <c r="K57" s="117"/>
      <c r="L57" s="98"/>
      <c r="M57" s="117"/>
      <c r="N57" s="131"/>
      <c r="O57" s="119"/>
      <c r="P57" s="97"/>
      <c r="Q57" s="115"/>
      <c r="R57" s="143"/>
      <c r="S57" s="98"/>
      <c r="T57" s="143"/>
      <c r="U57" s="91"/>
      <c r="W57" s="121">
        <f t="shared" si="25"/>
        <v>165</v>
      </c>
      <c r="X57" s="112">
        <f t="shared" si="26"/>
        <v>20</v>
      </c>
      <c r="Y57" s="55"/>
      <c r="Z57" s="55"/>
      <c r="AA57" s="55"/>
      <c r="AB57" s="55"/>
      <c r="AC57" s="55"/>
      <c r="AD57" s="55"/>
    </row>
    <row r="58">
      <c r="A58" s="150" t="s">
        <v>123</v>
      </c>
      <c r="B58" s="97"/>
      <c r="C58" s="146"/>
      <c r="D58" s="98"/>
      <c r="E58" s="146"/>
      <c r="F58" s="98"/>
      <c r="G58" s="146"/>
      <c r="H58" s="98"/>
      <c r="I58" s="147"/>
      <c r="J58" s="98"/>
      <c r="K58" s="147"/>
      <c r="L58" s="98"/>
      <c r="M58" s="147"/>
      <c r="N58" s="131"/>
      <c r="O58" s="155"/>
      <c r="P58" s="97"/>
      <c r="Q58" s="146"/>
      <c r="R58" s="98"/>
      <c r="S58" s="98"/>
      <c r="T58" s="98"/>
      <c r="U58" s="91"/>
      <c r="W58" s="121">
        <f t="shared" si="25"/>
        <v>0</v>
      </c>
      <c r="X58" s="112">
        <f t="shared" si="26"/>
        <v>0</v>
      </c>
      <c r="Y58" s="55"/>
      <c r="Z58" s="55"/>
      <c r="AA58" s="55"/>
      <c r="AB58" s="55"/>
      <c r="AC58" s="55"/>
      <c r="AD58" s="55"/>
    </row>
    <row r="59">
      <c r="A59" s="150" t="s">
        <v>124</v>
      </c>
      <c r="B59" s="97"/>
      <c r="C59" s="146"/>
      <c r="D59" s="98"/>
      <c r="E59" s="146"/>
      <c r="F59" s="98"/>
      <c r="G59" s="115">
        <v>31.0</v>
      </c>
      <c r="H59" s="98"/>
      <c r="I59" s="117"/>
      <c r="J59" s="143"/>
      <c r="K59" s="117"/>
      <c r="L59" s="143">
        <v>400.0</v>
      </c>
      <c r="M59" s="117"/>
      <c r="N59" s="131"/>
      <c r="O59" s="119"/>
      <c r="P59" s="97"/>
      <c r="Q59" s="115"/>
      <c r="R59" s="98"/>
      <c r="S59" s="98"/>
      <c r="T59" s="98"/>
      <c r="U59" s="91"/>
      <c r="W59" s="121">
        <f t="shared" si="25"/>
        <v>400</v>
      </c>
      <c r="X59" s="112">
        <f t="shared" si="26"/>
        <v>31</v>
      </c>
      <c r="Y59" s="55"/>
      <c r="Z59" s="55"/>
      <c r="AA59" s="55"/>
      <c r="AB59" s="55"/>
      <c r="AC59" s="55"/>
      <c r="AD59" s="55"/>
    </row>
    <row r="60">
      <c r="A60" s="2" t="s">
        <v>125</v>
      </c>
      <c r="B60" s="97"/>
      <c r="C60" s="152"/>
      <c r="D60" s="152"/>
      <c r="E60" s="156"/>
      <c r="F60" s="157"/>
      <c r="G60" s="158"/>
      <c r="H60" s="157"/>
      <c r="I60" s="159"/>
      <c r="J60" s="157">
        <v>80.0</v>
      </c>
      <c r="K60" s="159"/>
      <c r="L60" s="157"/>
      <c r="M60" s="159"/>
      <c r="N60" s="160"/>
      <c r="O60" s="161"/>
      <c r="P60" s="162"/>
      <c r="Q60" s="158"/>
      <c r="R60" s="152"/>
      <c r="S60" s="152"/>
      <c r="T60" s="152"/>
      <c r="U60" s="163"/>
      <c r="W60" s="164"/>
      <c r="X60" s="106"/>
    </row>
    <row r="61">
      <c r="A61" s="2" t="s">
        <v>126</v>
      </c>
      <c r="B61" s="97"/>
      <c r="C61" s="152"/>
      <c r="D61" s="152"/>
      <c r="E61" s="156"/>
      <c r="F61" s="152"/>
      <c r="G61" s="158"/>
      <c r="H61" s="152"/>
      <c r="I61" s="159"/>
      <c r="J61" s="157"/>
      <c r="K61" s="159"/>
      <c r="L61" s="152"/>
      <c r="M61" s="159"/>
      <c r="N61" s="165"/>
      <c r="O61" s="161"/>
      <c r="P61" s="162"/>
      <c r="Q61" s="158"/>
      <c r="R61" s="152"/>
      <c r="S61" s="152"/>
      <c r="T61" s="152"/>
      <c r="U61" s="163"/>
      <c r="W61" s="164"/>
      <c r="X61" s="106"/>
    </row>
    <row r="62">
      <c r="A62" s="2" t="s">
        <v>127</v>
      </c>
      <c r="B62" s="97"/>
      <c r="C62" s="152"/>
      <c r="D62" s="152"/>
      <c r="E62" s="156"/>
      <c r="F62" s="157">
        <v>566.0</v>
      </c>
      <c r="G62" s="158">
        <f>515+51</f>
        <v>566</v>
      </c>
      <c r="H62" s="152"/>
      <c r="I62" s="159"/>
      <c r="J62" s="152"/>
      <c r="K62" s="159"/>
      <c r="L62" s="152"/>
      <c r="M62" s="159"/>
      <c r="N62" s="165"/>
      <c r="O62" s="161"/>
      <c r="P62" s="162"/>
      <c r="Q62" s="158"/>
      <c r="R62" s="152"/>
      <c r="S62" s="152"/>
      <c r="T62" s="152"/>
      <c r="U62" s="163"/>
      <c r="W62" s="164"/>
      <c r="X62" s="106"/>
    </row>
    <row r="63">
      <c r="A63" s="2" t="s">
        <v>128</v>
      </c>
      <c r="B63" s="97"/>
      <c r="C63" s="152"/>
      <c r="D63" s="152"/>
      <c r="E63" s="156"/>
      <c r="F63" s="157">
        <v>150.0</v>
      </c>
      <c r="G63" s="158">
        <v>150.0</v>
      </c>
      <c r="H63" s="152"/>
      <c r="I63" s="159"/>
      <c r="J63" s="152"/>
      <c r="K63" s="159"/>
      <c r="L63" s="152"/>
      <c r="M63" s="159"/>
      <c r="N63" s="165"/>
      <c r="O63" s="161"/>
      <c r="P63" s="162"/>
      <c r="Q63" s="158"/>
      <c r="R63" s="152"/>
      <c r="S63" s="152"/>
      <c r="T63" s="152"/>
      <c r="U63" s="163"/>
      <c r="W63" s="164"/>
      <c r="X63" s="106"/>
    </row>
    <row r="64">
      <c r="A64" s="2" t="s">
        <v>114</v>
      </c>
      <c r="B64" s="97"/>
      <c r="C64" s="124"/>
      <c r="D64" s="152"/>
      <c r="E64" s="156"/>
      <c r="F64" s="152"/>
      <c r="G64" s="158">
        <f>40+23+9+23</f>
        <v>95</v>
      </c>
      <c r="H64" s="157"/>
      <c r="I64" s="159"/>
      <c r="J64" s="157"/>
      <c r="K64" s="159"/>
      <c r="L64" s="152"/>
      <c r="M64" s="159"/>
      <c r="N64" s="165"/>
      <c r="O64" s="161"/>
      <c r="P64" s="162"/>
      <c r="Q64" s="158"/>
      <c r="R64" s="152"/>
      <c r="S64" s="152"/>
      <c r="T64" s="152"/>
      <c r="U64" s="163"/>
      <c r="W64" s="104"/>
      <c r="X64" s="106"/>
    </row>
    <row r="65">
      <c r="B65" s="97"/>
      <c r="C65" s="152"/>
      <c r="D65" s="152"/>
      <c r="E65" s="156"/>
      <c r="F65" s="152"/>
      <c r="G65" s="158"/>
      <c r="H65" s="152"/>
      <c r="I65" s="159"/>
      <c r="J65" s="152"/>
      <c r="K65" s="159"/>
      <c r="L65" s="152"/>
      <c r="M65" s="159"/>
      <c r="N65" s="165"/>
      <c r="O65" s="161"/>
      <c r="P65" s="162"/>
      <c r="Q65" s="158"/>
      <c r="R65" s="152"/>
      <c r="S65" s="152"/>
      <c r="T65" s="152"/>
      <c r="U65" s="163"/>
      <c r="W65" s="164"/>
      <c r="X65" s="106"/>
    </row>
    <row r="66">
      <c r="B66" s="97"/>
      <c r="C66" s="152"/>
      <c r="D66" s="152"/>
      <c r="E66" s="156"/>
      <c r="F66" s="152"/>
      <c r="G66" s="158"/>
      <c r="H66" s="152"/>
      <c r="I66" s="159"/>
      <c r="J66" s="152"/>
      <c r="K66" s="159"/>
      <c r="L66" s="152"/>
      <c r="M66" s="159"/>
      <c r="N66" s="165"/>
      <c r="O66" s="161"/>
      <c r="P66" s="162"/>
      <c r="Q66" s="158"/>
      <c r="R66" s="152"/>
      <c r="S66" s="152"/>
      <c r="T66" s="152"/>
      <c r="U66" s="163"/>
      <c r="W66" s="164"/>
      <c r="X66" s="106"/>
    </row>
    <row r="67">
      <c r="B67" s="97"/>
      <c r="C67" s="152"/>
      <c r="D67" s="152"/>
      <c r="E67" s="156"/>
      <c r="F67" s="152"/>
      <c r="G67" s="158"/>
      <c r="H67" s="152"/>
      <c r="I67" s="159"/>
      <c r="J67" s="152"/>
      <c r="K67" s="159"/>
      <c r="L67" s="152"/>
      <c r="M67" s="159"/>
      <c r="N67" s="165"/>
      <c r="O67" s="161"/>
      <c r="P67" s="162"/>
      <c r="Q67" s="158"/>
      <c r="R67" s="152"/>
      <c r="S67" s="152"/>
      <c r="T67" s="152"/>
      <c r="U67" s="163"/>
      <c r="W67" s="164"/>
      <c r="X67" s="106"/>
    </row>
    <row r="68">
      <c r="B68" s="97"/>
      <c r="C68" s="152"/>
      <c r="D68" s="152"/>
      <c r="E68" s="156"/>
      <c r="F68" s="152"/>
      <c r="G68" s="158"/>
      <c r="H68" s="152"/>
      <c r="I68" s="159"/>
      <c r="J68" s="152"/>
      <c r="K68" s="159"/>
      <c r="L68" s="152"/>
      <c r="M68" s="159"/>
      <c r="N68" s="165"/>
      <c r="O68" s="161"/>
      <c r="P68" s="162"/>
      <c r="Q68" s="158"/>
      <c r="R68" s="152"/>
      <c r="S68" s="152"/>
      <c r="T68" s="152"/>
      <c r="U68" s="163"/>
      <c r="W68" s="164"/>
      <c r="X68" s="106"/>
    </row>
    <row r="69">
      <c r="B69" s="97"/>
      <c r="C69" s="152"/>
      <c r="D69" s="152"/>
      <c r="E69" s="156"/>
      <c r="F69" s="152"/>
      <c r="G69" s="158"/>
      <c r="H69" s="152"/>
      <c r="I69" s="159"/>
      <c r="J69" s="152"/>
      <c r="K69" s="159"/>
      <c r="L69" s="152"/>
      <c r="M69" s="159"/>
      <c r="N69" s="165"/>
      <c r="O69" s="161"/>
      <c r="P69" s="162"/>
      <c r="Q69" s="158"/>
      <c r="R69" s="152"/>
      <c r="S69" s="152"/>
      <c r="T69" s="152"/>
      <c r="U69" s="163"/>
      <c r="W69" s="164"/>
      <c r="X69" s="106"/>
    </row>
    <row r="70">
      <c r="B70" s="97"/>
      <c r="C70" s="152"/>
      <c r="D70" s="152"/>
      <c r="E70" s="156"/>
      <c r="F70" s="152"/>
      <c r="G70" s="158"/>
      <c r="H70" s="152"/>
      <c r="I70" s="159"/>
      <c r="J70" s="152"/>
      <c r="K70" s="159"/>
      <c r="L70" s="152"/>
      <c r="M70" s="159"/>
      <c r="N70" s="165"/>
      <c r="O70" s="161"/>
      <c r="P70" s="162"/>
      <c r="Q70" s="158"/>
      <c r="R70" s="152"/>
      <c r="S70" s="152"/>
      <c r="T70" s="152"/>
      <c r="U70" s="163"/>
      <c r="W70" s="164"/>
      <c r="X70" s="106"/>
    </row>
    <row r="71">
      <c r="B71" s="97"/>
      <c r="C71" s="152"/>
      <c r="D71" s="152"/>
      <c r="E71" s="156"/>
      <c r="F71" s="152"/>
      <c r="G71" s="158"/>
      <c r="H71" s="152"/>
      <c r="I71" s="159"/>
      <c r="J71" s="152"/>
      <c r="K71" s="159"/>
      <c r="L71" s="152"/>
      <c r="M71" s="159"/>
      <c r="N71" s="165"/>
      <c r="O71" s="161"/>
      <c r="P71" s="162"/>
      <c r="Q71" s="158"/>
      <c r="R71" s="152"/>
      <c r="S71" s="152"/>
      <c r="T71" s="152"/>
      <c r="U71" s="163"/>
      <c r="W71" s="164"/>
      <c r="X71" s="106"/>
    </row>
    <row r="72">
      <c r="B72" s="97"/>
      <c r="C72" s="152"/>
      <c r="D72" s="152"/>
      <c r="E72" s="156"/>
      <c r="F72" s="152"/>
      <c r="G72" s="158"/>
      <c r="H72" s="152"/>
      <c r="I72" s="159"/>
      <c r="J72" s="152"/>
      <c r="K72" s="159"/>
      <c r="L72" s="152"/>
      <c r="M72" s="159"/>
      <c r="N72" s="165"/>
      <c r="O72" s="161"/>
      <c r="P72" s="162"/>
      <c r="Q72" s="158"/>
      <c r="R72" s="152"/>
      <c r="S72" s="152"/>
      <c r="T72" s="152"/>
      <c r="U72" s="163"/>
      <c r="W72" s="164"/>
      <c r="X72" s="106"/>
    </row>
    <row r="73">
      <c r="B73" s="97"/>
      <c r="C73" s="152"/>
      <c r="D73" s="152"/>
      <c r="E73" s="156"/>
      <c r="F73" s="152"/>
      <c r="G73" s="158"/>
      <c r="H73" s="152"/>
      <c r="I73" s="159"/>
      <c r="J73" s="152"/>
      <c r="K73" s="159"/>
      <c r="L73" s="152"/>
      <c r="M73" s="159"/>
      <c r="N73" s="165"/>
      <c r="O73" s="161"/>
      <c r="P73" s="162"/>
      <c r="Q73" s="158"/>
      <c r="R73" s="152"/>
      <c r="S73" s="152"/>
      <c r="T73" s="152"/>
      <c r="U73" s="163"/>
      <c r="W73" s="164"/>
      <c r="X73" s="106"/>
    </row>
    <row r="74">
      <c r="B74" s="97"/>
      <c r="C74" s="152"/>
      <c r="D74" s="152"/>
      <c r="E74" s="156"/>
      <c r="F74" s="152"/>
      <c r="G74" s="158"/>
      <c r="H74" s="152"/>
      <c r="I74" s="159"/>
      <c r="J74" s="152"/>
      <c r="K74" s="159"/>
      <c r="L74" s="152"/>
      <c r="M74" s="159"/>
      <c r="N74" s="165"/>
      <c r="O74" s="161"/>
      <c r="P74" s="162"/>
      <c r="Q74" s="158"/>
      <c r="R74" s="152"/>
      <c r="S74" s="152"/>
      <c r="T74" s="152"/>
      <c r="U74" s="163"/>
      <c r="W74" s="164"/>
      <c r="X74" s="106"/>
    </row>
    <row r="75">
      <c r="B75" s="97"/>
      <c r="C75" s="152"/>
      <c r="D75" s="152"/>
      <c r="E75" s="156"/>
      <c r="F75" s="152"/>
      <c r="G75" s="158"/>
      <c r="H75" s="152"/>
      <c r="I75" s="159"/>
      <c r="J75" s="152"/>
      <c r="K75" s="159"/>
      <c r="L75" s="152"/>
      <c r="M75" s="159"/>
      <c r="N75" s="165"/>
      <c r="O75" s="161"/>
      <c r="P75" s="162"/>
      <c r="Q75" s="158"/>
      <c r="R75" s="152"/>
      <c r="S75" s="152"/>
      <c r="T75" s="152"/>
      <c r="U75" s="163"/>
      <c r="W75" s="164"/>
      <c r="X75" s="106"/>
    </row>
    <row r="76">
      <c r="E76" s="166"/>
      <c r="J76" s="163"/>
      <c r="L76" s="163"/>
      <c r="N76" s="167"/>
      <c r="O76" s="168"/>
    </row>
    <row r="77">
      <c r="B77" s="90"/>
      <c r="C77" s="90"/>
      <c r="E77" s="166"/>
      <c r="J77" s="163"/>
      <c r="L77" s="163"/>
      <c r="N77" s="167"/>
      <c r="O77" s="168"/>
    </row>
    <row r="78">
      <c r="B78" s="90"/>
      <c r="C78" s="90"/>
      <c r="E78" s="166"/>
      <c r="J78" s="163"/>
      <c r="L78" s="163"/>
      <c r="N78" s="167"/>
      <c r="O78" s="168"/>
    </row>
    <row r="79">
      <c r="B79" s="90"/>
      <c r="C79" s="90"/>
      <c r="E79" s="166"/>
      <c r="J79" s="163"/>
      <c r="L79" s="163"/>
      <c r="N79" s="167"/>
      <c r="O79" s="168"/>
    </row>
    <row r="80">
      <c r="B80" s="90"/>
      <c r="C80" s="90"/>
      <c r="E80" s="166"/>
      <c r="J80" s="163"/>
      <c r="L80" s="163"/>
      <c r="N80" s="167"/>
      <c r="O80" s="168"/>
    </row>
    <row r="81">
      <c r="B81" s="90"/>
      <c r="C81" s="90"/>
      <c r="E81" s="166"/>
      <c r="J81" s="163"/>
      <c r="L81" s="163"/>
      <c r="N81" s="167"/>
      <c r="O81" s="168"/>
    </row>
    <row r="82">
      <c r="B82" s="90"/>
      <c r="C82" s="90"/>
      <c r="E82" s="166"/>
      <c r="J82" s="163"/>
      <c r="L82" s="163"/>
      <c r="N82" s="167"/>
      <c r="O82" s="168"/>
    </row>
    <row r="83">
      <c r="B83" s="90"/>
      <c r="C83" s="90"/>
      <c r="E83" s="166"/>
      <c r="J83" s="163"/>
      <c r="L83" s="163"/>
      <c r="N83" s="167"/>
      <c r="O83" s="168"/>
    </row>
    <row r="84">
      <c r="B84" s="90"/>
      <c r="C84" s="90"/>
      <c r="E84" s="166"/>
      <c r="J84" s="163"/>
      <c r="L84" s="163"/>
      <c r="N84" s="167"/>
      <c r="O84" s="168"/>
    </row>
    <row r="85">
      <c r="B85" s="90"/>
      <c r="C85" s="90"/>
      <c r="E85" s="166"/>
      <c r="J85" s="163"/>
      <c r="L85" s="163"/>
      <c r="N85" s="167"/>
      <c r="O85" s="168"/>
    </row>
    <row r="86">
      <c r="B86" s="90"/>
      <c r="C86" s="90"/>
      <c r="E86" s="166"/>
      <c r="J86" s="163"/>
      <c r="L86" s="163"/>
      <c r="N86" s="167"/>
      <c r="O86" s="168"/>
    </row>
    <row r="87">
      <c r="B87" s="90"/>
      <c r="C87" s="90"/>
      <c r="E87" s="166"/>
      <c r="J87" s="163"/>
      <c r="L87" s="163"/>
      <c r="N87" s="167"/>
      <c r="O87" s="168"/>
    </row>
    <row r="88">
      <c r="B88" s="90"/>
      <c r="C88" s="90"/>
      <c r="E88" s="166"/>
      <c r="J88" s="163"/>
      <c r="L88" s="163"/>
      <c r="N88" s="167"/>
      <c r="O88" s="168"/>
    </row>
    <row r="89">
      <c r="B89" s="90"/>
      <c r="C89" s="90"/>
      <c r="E89" s="166"/>
      <c r="J89" s="163"/>
      <c r="L89" s="163"/>
      <c r="N89" s="167"/>
      <c r="O89" s="168"/>
    </row>
    <row r="90">
      <c r="B90" s="90"/>
      <c r="C90" s="90"/>
      <c r="E90" s="166"/>
      <c r="J90" s="163"/>
      <c r="L90" s="163"/>
      <c r="N90" s="167"/>
      <c r="O90" s="168"/>
    </row>
    <row r="91">
      <c r="B91" s="90"/>
      <c r="C91" s="90"/>
      <c r="E91" s="166"/>
      <c r="J91" s="163"/>
      <c r="L91" s="163"/>
      <c r="N91" s="167"/>
      <c r="O91" s="168"/>
    </row>
    <row r="92">
      <c r="B92" s="90"/>
      <c r="C92" s="90"/>
      <c r="E92" s="166"/>
      <c r="J92" s="163"/>
      <c r="L92" s="163"/>
      <c r="N92" s="167"/>
      <c r="O92" s="168"/>
    </row>
    <row r="93">
      <c r="B93" s="90"/>
      <c r="C93" s="90"/>
      <c r="E93" s="166"/>
      <c r="J93" s="163"/>
      <c r="L93" s="163"/>
      <c r="N93" s="167"/>
      <c r="O93" s="168"/>
    </row>
    <row r="94">
      <c r="B94" s="90"/>
      <c r="C94" s="90"/>
      <c r="E94" s="166"/>
      <c r="J94" s="163"/>
      <c r="L94" s="163"/>
      <c r="N94" s="167"/>
      <c r="O94" s="168"/>
    </row>
    <row r="95">
      <c r="B95" s="90"/>
      <c r="C95" s="90"/>
      <c r="E95" s="166"/>
      <c r="J95" s="163"/>
      <c r="L95" s="163"/>
      <c r="N95" s="167"/>
      <c r="O95" s="168"/>
    </row>
    <row r="96">
      <c r="B96" s="90"/>
      <c r="C96" s="90"/>
      <c r="E96" s="166"/>
      <c r="J96" s="163"/>
      <c r="L96" s="163"/>
      <c r="N96" s="167"/>
      <c r="O96" s="168"/>
    </row>
    <row r="97">
      <c r="B97" s="90"/>
      <c r="C97" s="90"/>
      <c r="E97" s="166"/>
      <c r="J97" s="163"/>
      <c r="L97" s="163"/>
      <c r="N97" s="167"/>
      <c r="O97" s="168"/>
    </row>
    <row r="98">
      <c r="B98" s="90"/>
      <c r="C98" s="90"/>
      <c r="E98" s="166"/>
      <c r="J98" s="163"/>
      <c r="L98" s="163"/>
      <c r="N98" s="167"/>
      <c r="O98" s="168"/>
    </row>
    <row r="99">
      <c r="B99" s="90"/>
      <c r="C99" s="90"/>
      <c r="E99" s="166"/>
      <c r="J99" s="163"/>
      <c r="L99" s="163"/>
      <c r="N99" s="167"/>
      <c r="O99" s="168"/>
    </row>
    <row r="100">
      <c r="B100" s="90"/>
      <c r="C100" s="90"/>
      <c r="E100" s="166"/>
      <c r="J100" s="163"/>
      <c r="L100" s="163"/>
      <c r="N100" s="167"/>
      <c r="O100" s="168"/>
    </row>
    <row r="101">
      <c r="B101" s="90"/>
      <c r="C101" s="90"/>
      <c r="E101" s="166"/>
      <c r="J101" s="163"/>
      <c r="L101" s="163"/>
      <c r="N101" s="167"/>
      <c r="O101" s="168"/>
    </row>
    <row r="102">
      <c r="B102" s="90"/>
      <c r="C102" s="90"/>
      <c r="E102" s="166"/>
      <c r="J102" s="163"/>
      <c r="L102" s="163"/>
      <c r="N102" s="167"/>
      <c r="O102" s="168"/>
    </row>
    <row r="103">
      <c r="B103" s="90"/>
      <c r="C103" s="90"/>
      <c r="E103" s="166"/>
      <c r="J103" s="163"/>
      <c r="L103" s="163"/>
      <c r="N103" s="167"/>
      <c r="O103" s="168"/>
    </row>
    <row r="104">
      <c r="B104" s="90"/>
      <c r="C104" s="90"/>
      <c r="E104" s="166"/>
      <c r="J104" s="163"/>
      <c r="L104" s="163"/>
      <c r="N104" s="167"/>
      <c r="O104" s="168"/>
    </row>
    <row r="105">
      <c r="B105" s="90"/>
      <c r="C105" s="90"/>
      <c r="E105" s="166"/>
      <c r="J105" s="163"/>
      <c r="L105" s="163"/>
      <c r="N105" s="167"/>
      <c r="O105" s="168"/>
    </row>
    <row r="106">
      <c r="B106" s="90"/>
      <c r="C106" s="90"/>
      <c r="E106" s="166"/>
      <c r="J106" s="163"/>
      <c r="L106" s="163"/>
      <c r="N106" s="167"/>
      <c r="O106" s="168"/>
    </row>
    <row r="107">
      <c r="B107" s="90"/>
      <c r="C107" s="90"/>
      <c r="E107" s="166"/>
      <c r="J107" s="163"/>
      <c r="L107" s="163"/>
      <c r="N107" s="167"/>
      <c r="O107" s="168"/>
    </row>
    <row r="108">
      <c r="B108" s="90"/>
      <c r="C108" s="90"/>
      <c r="E108" s="166"/>
      <c r="J108" s="163"/>
      <c r="L108" s="163"/>
      <c r="N108" s="167"/>
      <c r="O108" s="168"/>
    </row>
    <row r="109">
      <c r="B109" s="90"/>
      <c r="C109" s="90"/>
      <c r="E109" s="166"/>
      <c r="J109" s="163"/>
      <c r="L109" s="163"/>
      <c r="N109" s="167"/>
      <c r="O109" s="168"/>
    </row>
    <row r="110">
      <c r="B110" s="90"/>
      <c r="C110" s="90"/>
      <c r="E110" s="166"/>
      <c r="J110" s="163"/>
      <c r="L110" s="163"/>
      <c r="N110" s="167"/>
      <c r="O110" s="168"/>
    </row>
    <row r="111">
      <c r="B111" s="90"/>
      <c r="C111" s="90"/>
      <c r="E111" s="166"/>
      <c r="J111" s="163"/>
      <c r="L111" s="163"/>
      <c r="N111" s="167"/>
      <c r="O111" s="168"/>
    </row>
    <row r="112">
      <c r="B112" s="90"/>
      <c r="C112" s="90"/>
      <c r="E112" s="166"/>
      <c r="J112" s="163"/>
      <c r="L112" s="163"/>
      <c r="N112" s="167"/>
      <c r="O112" s="168"/>
    </row>
    <row r="113">
      <c r="B113" s="90"/>
      <c r="C113" s="90"/>
      <c r="E113" s="166"/>
      <c r="J113" s="163"/>
      <c r="L113" s="163"/>
      <c r="N113" s="167"/>
      <c r="O113" s="168"/>
    </row>
    <row r="114">
      <c r="B114" s="90"/>
      <c r="C114" s="90"/>
      <c r="E114" s="166"/>
      <c r="J114" s="163"/>
      <c r="L114" s="163"/>
      <c r="N114" s="167"/>
      <c r="O114" s="168"/>
    </row>
    <row r="115">
      <c r="B115" s="90"/>
      <c r="C115" s="90"/>
      <c r="E115" s="166"/>
      <c r="J115" s="163"/>
      <c r="L115" s="163"/>
      <c r="N115" s="167"/>
      <c r="O115" s="168"/>
    </row>
    <row r="116">
      <c r="B116" s="90"/>
      <c r="C116" s="90"/>
      <c r="E116" s="166"/>
      <c r="J116" s="163"/>
      <c r="L116" s="163"/>
      <c r="N116" s="167"/>
      <c r="O116" s="168"/>
    </row>
    <row r="117">
      <c r="B117" s="90"/>
      <c r="C117" s="90"/>
      <c r="E117" s="166"/>
      <c r="J117" s="163"/>
      <c r="L117" s="163"/>
      <c r="N117" s="167"/>
      <c r="O117" s="168"/>
    </row>
    <row r="118">
      <c r="B118" s="90"/>
      <c r="C118" s="90"/>
      <c r="E118" s="166"/>
      <c r="J118" s="163"/>
      <c r="L118" s="163"/>
      <c r="N118" s="167"/>
      <c r="O118" s="168"/>
    </row>
    <row r="119">
      <c r="B119" s="90"/>
      <c r="C119" s="90"/>
      <c r="E119" s="166"/>
      <c r="J119" s="163"/>
      <c r="L119" s="163"/>
      <c r="N119" s="167"/>
      <c r="O119" s="168"/>
    </row>
    <row r="120">
      <c r="B120" s="90"/>
      <c r="C120" s="90"/>
      <c r="E120" s="166"/>
      <c r="J120" s="163"/>
      <c r="L120" s="163"/>
      <c r="N120" s="167"/>
      <c r="O120" s="168"/>
    </row>
    <row r="121">
      <c r="B121" s="90"/>
      <c r="C121" s="90"/>
      <c r="E121" s="166"/>
      <c r="J121" s="163"/>
      <c r="L121" s="163"/>
      <c r="N121" s="167"/>
      <c r="O121" s="168"/>
    </row>
    <row r="122">
      <c r="B122" s="90"/>
      <c r="C122" s="90"/>
      <c r="E122" s="166"/>
      <c r="J122" s="163"/>
      <c r="L122" s="163"/>
      <c r="N122" s="167"/>
      <c r="O122" s="168"/>
    </row>
    <row r="123">
      <c r="B123" s="90"/>
      <c r="C123" s="90"/>
      <c r="E123" s="166"/>
      <c r="J123" s="163"/>
      <c r="L123" s="163"/>
      <c r="N123" s="167"/>
      <c r="O123" s="168"/>
    </row>
    <row r="124">
      <c r="B124" s="90"/>
      <c r="C124" s="90"/>
      <c r="E124" s="166"/>
      <c r="J124" s="163"/>
      <c r="L124" s="163"/>
      <c r="N124" s="167"/>
      <c r="O124" s="168"/>
    </row>
    <row r="125">
      <c r="B125" s="90"/>
      <c r="C125" s="90"/>
      <c r="E125" s="166"/>
      <c r="J125" s="163"/>
      <c r="L125" s="163"/>
      <c r="N125" s="167"/>
      <c r="O125" s="168"/>
    </row>
    <row r="126">
      <c r="B126" s="90"/>
      <c r="C126" s="90"/>
      <c r="E126" s="166"/>
      <c r="J126" s="163"/>
      <c r="L126" s="163"/>
      <c r="N126" s="167"/>
      <c r="O126" s="168"/>
    </row>
    <row r="127">
      <c r="B127" s="90"/>
      <c r="C127" s="90"/>
      <c r="E127" s="166"/>
      <c r="J127" s="163"/>
      <c r="L127" s="163"/>
      <c r="N127" s="167"/>
      <c r="O127" s="168"/>
    </row>
    <row r="128">
      <c r="B128" s="90"/>
      <c r="C128" s="90"/>
      <c r="E128" s="166"/>
      <c r="J128" s="163"/>
      <c r="L128" s="163"/>
      <c r="N128" s="167"/>
      <c r="O128" s="168"/>
    </row>
    <row r="129">
      <c r="B129" s="90"/>
      <c r="C129" s="90"/>
      <c r="E129" s="166"/>
      <c r="J129" s="163"/>
      <c r="L129" s="163"/>
      <c r="N129" s="167"/>
      <c r="O129" s="168"/>
    </row>
    <row r="130">
      <c r="B130" s="90"/>
      <c r="C130" s="90"/>
      <c r="E130" s="166"/>
      <c r="J130" s="163"/>
      <c r="L130" s="163"/>
      <c r="N130" s="167"/>
      <c r="O130" s="168"/>
    </row>
    <row r="131">
      <c r="B131" s="90"/>
      <c r="C131" s="90"/>
      <c r="E131" s="166"/>
      <c r="J131" s="163"/>
      <c r="L131" s="163"/>
      <c r="N131" s="167"/>
      <c r="O131" s="168"/>
    </row>
    <row r="132">
      <c r="B132" s="90"/>
      <c r="C132" s="90"/>
      <c r="E132" s="166"/>
      <c r="J132" s="163"/>
      <c r="L132" s="163"/>
      <c r="N132" s="167"/>
      <c r="O132" s="168"/>
    </row>
    <row r="133">
      <c r="B133" s="90"/>
      <c r="C133" s="90"/>
      <c r="E133" s="166"/>
      <c r="J133" s="163"/>
      <c r="L133" s="163"/>
      <c r="N133" s="167"/>
      <c r="O133" s="168"/>
    </row>
    <row r="134">
      <c r="B134" s="90"/>
      <c r="C134" s="90"/>
      <c r="E134" s="166"/>
      <c r="J134" s="163"/>
      <c r="L134" s="163"/>
      <c r="N134" s="167"/>
      <c r="O134" s="168"/>
    </row>
    <row r="135">
      <c r="B135" s="90"/>
      <c r="C135" s="90"/>
      <c r="E135" s="166"/>
      <c r="J135" s="163"/>
      <c r="L135" s="163"/>
      <c r="N135" s="167"/>
      <c r="O135" s="168"/>
    </row>
    <row r="136">
      <c r="B136" s="90"/>
      <c r="C136" s="90"/>
      <c r="E136" s="166"/>
      <c r="J136" s="163"/>
      <c r="L136" s="163"/>
      <c r="N136" s="167"/>
      <c r="O136" s="168"/>
    </row>
    <row r="137">
      <c r="B137" s="90"/>
      <c r="C137" s="90"/>
      <c r="E137" s="166"/>
      <c r="J137" s="163"/>
      <c r="L137" s="163"/>
      <c r="N137" s="167"/>
      <c r="O137" s="168"/>
    </row>
    <row r="138">
      <c r="B138" s="90"/>
      <c r="C138" s="90"/>
      <c r="E138" s="166"/>
      <c r="J138" s="163"/>
      <c r="L138" s="163"/>
      <c r="N138" s="167"/>
      <c r="O138" s="168"/>
    </row>
    <row r="139">
      <c r="B139" s="90"/>
      <c r="C139" s="90"/>
      <c r="E139" s="166"/>
      <c r="J139" s="163"/>
      <c r="L139" s="163"/>
      <c r="N139" s="167"/>
      <c r="O139" s="168"/>
    </row>
    <row r="140">
      <c r="B140" s="90"/>
      <c r="C140" s="90"/>
      <c r="E140" s="166"/>
      <c r="J140" s="163"/>
      <c r="L140" s="163"/>
      <c r="N140" s="167"/>
      <c r="O140" s="168"/>
    </row>
    <row r="141">
      <c r="B141" s="90"/>
      <c r="C141" s="90"/>
      <c r="E141" s="166"/>
      <c r="J141" s="163"/>
      <c r="L141" s="163"/>
      <c r="N141" s="167"/>
      <c r="O141" s="168"/>
    </row>
    <row r="142">
      <c r="B142" s="90"/>
      <c r="C142" s="90"/>
      <c r="E142" s="166"/>
      <c r="J142" s="163"/>
      <c r="L142" s="163"/>
      <c r="N142" s="167"/>
      <c r="O142" s="168"/>
    </row>
    <row r="143">
      <c r="B143" s="90"/>
      <c r="C143" s="90"/>
      <c r="E143" s="166"/>
      <c r="J143" s="163"/>
      <c r="L143" s="163"/>
      <c r="N143" s="167"/>
      <c r="O143" s="168"/>
    </row>
    <row r="144">
      <c r="B144" s="90"/>
      <c r="C144" s="90"/>
      <c r="E144" s="166"/>
      <c r="J144" s="163"/>
      <c r="L144" s="163"/>
      <c r="N144" s="167"/>
      <c r="O144" s="168"/>
    </row>
    <row r="145">
      <c r="B145" s="90"/>
      <c r="C145" s="90"/>
      <c r="E145" s="166"/>
      <c r="J145" s="163"/>
      <c r="L145" s="163"/>
      <c r="N145" s="167"/>
      <c r="O145" s="168"/>
    </row>
    <row r="146">
      <c r="B146" s="90"/>
      <c r="C146" s="90"/>
      <c r="E146" s="166"/>
      <c r="J146" s="163"/>
      <c r="L146" s="163"/>
      <c r="N146" s="167"/>
      <c r="O146" s="168"/>
    </row>
    <row r="147">
      <c r="B147" s="90"/>
      <c r="C147" s="90"/>
      <c r="E147" s="166"/>
      <c r="J147" s="163"/>
      <c r="L147" s="163"/>
      <c r="N147" s="167"/>
      <c r="O147" s="168"/>
    </row>
    <row r="148">
      <c r="B148" s="90"/>
      <c r="C148" s="90"/>
      <c r="E148" s="166"/>
      <c r="J148" s="163"/>
      <c r="L148" s="163"/>
      <c r="N148" s="167"/>
      <c r="O148" s="168"/>
    </row>
    <row r="149">
      <c r="B149" s="90"/>
      <c r="C149" s="90"/>
      <c r="E149" s="166"/>
      <c r="J149" s="163"/>
      <c r="L149" s="163"/>
      <c r="N149" s="167"/>
      <c r="O149" s="168"/>
    </row>
    <row r="150">
      <c r="B150" s="90"/>
      <c r="C150" s="90"/>
      <c r="E150" s="166"/>
      <c r="J150" s="163"/>
      <c r="L150" s="163"/>
      <c r="N150" s="167"/>
      <c r="O150" s="168"/>
    </row>
    <row r="151">
      <c r="B151" s="90"/>
      <c r="C151" s="90"/>
      <c r="E151" s="166"/>
      <c r="J151" s="163"/>
      <c r="L151" s="163"/>
      <c r="N151" s="167"/>
      <c r="O151" s="168"/>
    </row>
    <row r="152">
      <c r="B152" s="90"/>
      <c r="C152" s="90"/>
      <c r="E152" s="166"/>
      <c r="J152" s="163"/>
      <c r="L152" s="163"/>
      <c r="N152" s="167"/>
      <c r="O152" s="168"/>
    </row>
    <row r="153">
      <c r="B153" s="90"/>
      <c r="C153" s="90"/>
      <c r="E153" s="166"/>
      <c r="J153" s="163"/>
      <c r="L153" s="163"/>
      <c r="N153" s="167"/>
      <c r="O153" s="168"/>
    </row>
    <row r="154">
      <c r="B154" s="90"/>
      <c r="C154" s="90"/>
      <c r="E154" s="166"/>
      <c r="J154" s="163"/>
      <c r="L154" s="163"/>
      <c r="N154" s="167"/>
      <c r="O154" s="168"/>
    </row>
    <row r="155">
      <c r="B155" s="90"/>
      <c r="C155" s="90"/>
      <c r="E155" s="166"/>
      <c r="J155" s="163"/>
      <c r="L155" s="163"/>
      <c r="N155" s="167"/>
      <c r="O155" s="168"/>
    </row>
    <row r="156">
      <c r="B156" s="90"/>
      <c r="C156" s="90"/>
      <c r="E156" s="166"/>
      <c r="J156" s="163"/>
      <c r="L156" s="163"/>
      <c r="N156" s="167"/>
      <c r="O156" s="168"/>
    </row>
    <row r="157">
      <c r="B157" s="90"/>
      <c r="C157" s="90"/>
      <c r="E157" s="166"/>
      <c r="J157" s="163"/>
      <c r="L157" s="163"/>
      <c r="N157" s="167"/>
      <c r="O157" s="168"/>
    </row>
    <row r="158">
      <c r="B158" s="90"/>
      <c r="C158" s="90"/>
      <c r="E158" s="166"/>
      <c r="J158" s="163"/>
      <c r="L158" s="163"/>
      <c r="N158" s="167"/>
      <c r="O158" s="168"/>
    </row>
    <row r="159">
      <c r="B159" s="90"/>
      <c r="C159" s="90"/>
      <c r="E159" s="166"/>
      <c r="J159" s="163"/>
      <c r="L159" s="163"/>
      <c r="N159" s="167"/>
      <c r="O159" s="168"/>
    </row>
    <row r="160">
      <c r="B160" s="90"/>
      <c r="C160" s="90"/>
      <c r="E160" s="166"/>
      <c r="J160" s="163"/>
      <c r="L160" s="163"/>
      <c r="N160" s="167"/>
      <c r="O160" s="168"/>
    </row>
    <row r="161">
      <c r="B161" s="90"/>
      <c r="C161" s="90"/>
      <c r="E161" s="166"/>
      <c r="J161" s="163"/>
      <c r="L161" s="163"/>
      <c r="N161" s="167"/>
      <c r="O161" s="168"/>
    </row>
    <row r="162">
      <c r="B162" s="90"/>
      <c r="C162" s="90"/>
      <c r="E162" s="166"/>
      <c r="J162" s="163"/>
      <c r="L162" s="163"/>
      <c r="N162" s="167"/>
      <c r="O162" s="168"/>
    </row>
    <row r="163">
      <c r="B163" s="90"/>
      <c r="C163" s="90"/>
      <c r="E163" s="166"/>
      <c r="J163" s="163"/>
      <c r="L163" s="163"/>
      <c r="N163" s="167"/>
      <c r="O163" s="168"/>
    </row>
    <row r="164">
      <c r="B164" s="90"/>
      <c r="C164" s="90"/>
      <c r="E164" s="166"/>
      <c r="J164" s="163"/>
      <c r="L164" s="163"/>
      <c r="N164" s="167"/>
      <c r="O164" s="168"/>
    </row>
    <row r="165">
      <c r="B165" s="90"/>
      <c r="C165" s="90"/>
      <c r="E165" s="166"/>
      <c r="J165" s="163"/>
      <c r="L165" s="163"/>
      <c r="N165" s="167"/>
      <c r="O165" s="168"/>
    </row>
    <row r="166">
      <c r="B166" s="90"/>
      <c r="C166" s="90"/>
      <c r="E166" s="166"/>
      <c r="J166" s="163"/>
      <c r="L166" s="163"/>
      <c r="N166" s="167"/>
      <c r="O166" s="168"/>
    </row>
    <row r="167">
      <c r="B167" s="90"/>
      <c r="C167" s="90"/>
      <c r="E167" s="166"/>
      <c r="J167" s="163"/>
      <c r="L167" s="163"/>
      <c r="N167" s="167"/>
      <c r="O167" s="168"/>
    </row>
    <row r="168">
      <c r="B168" s="90"/>
      <c r="C168" s="90"/>
      <c r="E168" s="166"/>
      <c r="J168" s="163"/>
      <c r="L168" s="163"/>
      <c r="N168" s="167"/>
      <c r="O168" s="168"/>
    </row>
    <row r="169">
      <c r="B169" s="90"/>
      <c r="C169" s="90"/>
      <c r="E169" s="166"/>
      <c r="J169" s="163"/>
      <c r="L169" s="163"/>
      <c r="N169" s="167"/>
      <c r="O169" s="168"/>
    </row>
    <row r="170">
      <c r="B170" s="90"/>
      <c r="C170" s="90"/>
      <c r="E170" s="166"/>
      <c r="J170" s="163"/>
      <c r="L170" s="163"/>
      <c r="N170" s="167"/>
      <c r="O170" s="168"/>
    </row>
    <row r="171">
      <c r="B171" s="90"/>
      <c r="C171" s="90"/>
      <c r="E171" s="166"/>
      <c r="J171" s="163"/>
      <c r="L171" s="163"/>
      <c r="N171" s="167"/>
      <c r="O171" s="168"/>
    </row>
    <row r="172">
      <c r="B172" s="90"/>
      <c r="C172" s="90"/>
      <c r="E172" s="166"/>
      <c r="J172" s="163"/>
      <c r="L172" s="163"/>
      <c r="N172" s="167"/>
      <c r="O172" s="168"/>
    </row>
    <row r="173">
      <c r="B173" s="90"/>
      <c r="C173" s="90"/>
      <c r="E173" s="166"/>
      <c r="J173" s="163"/>
      <c r="L173" s="163"/>
      <c r="N173" s="167"/>
      <c r="O173" s="168"/>
    </row>
    <row r="174">
      <c r="B174" s="90"/>
      <c r="C174" s="90"/>
      <c r="E174" s="166"/>
      <c r="J174" s="163"/>
      <c r="L174" s="163"/>
      <c r="N174" s="167"/>
      <c r="O174" s="168"/>
    </row>
    <row r="175">
      <c r="B175" s="90"/>
      <c r="C175" s="90"/>
      <c r="E175" s="166"/>
      <c r="J175" s="163"/>
      <c r="L175" s="163"/>
      <c r="N175" s="167"/>
      <c r="O175" s="168"/>
    </row>
    <row r="176">
      <c r="B176" s="90"/>
      <c r="C176" s="90"/>
      <c r="E176" s="166"/>
      <c r="J176" s="163"/>
      <c r="L176" s="163"/>
      <c r="N176" s="167"/>
      <c r="O176" s="168"/>
    </row>
    <row r="177">
      <c r="B177" s="90"/>
      <c r="C177" s="90"/>
      <c r="E177" s="166"/>
      <c r="J177" s="163"/>
      <c r="L177" s="163"/>
      <c r="N177" s="167"/>
      <c r="O177" s="168"/>
    </row>
    <row r="178">
      <c r="B178" s="90"/>
      <c r="C178" s="90"/>
      <c r="E178" s="166"/>
      <c r="J178" s="163"/>
      <c r="L178" s="163"/>
      <c r="N178" s="167"/>
      <c r="O178" s="168"/>
    </row>
    <row r="179">
      <c r="B179" s="90"/>
      <c r="C179" s="90"/>
      <c r="E179" s="166"/>
      <c r="J179" s="163"/>
      <c r="L179" s="163"/>
      <c r="N179" s="167"/>
      <c r="O179" s="168"/>
    </row>
    <row r="180">
      <c r="B180" s="90"/>
      <c r="C180" s="90"/>
      <c r="E180" s="166"/>
      <c r="J180" s="163"/>
      <c r="L180" s="163"/>
      <c r="N180" s="167"/>
      <c r="O180" s="168"/>
    </row>
    <row r="181">
      <c r="B181" s="90"/>
      <c r="C181" s="90"/>
      <c r="E181" s="166"/>
      <c r="J181" s="163"/>
      <c r="L181" s="163"/>
      <c r="N181" s="167"/>
      <c r="O181" s="168"/>
    </row>
    <row r="182">
      <c r="B182" s="90"/>
      <c r="C182" s="90"/>
      <c r="E182" s="166"/>
      <c r="J182" s="163"/>
      <c r="L182" s="163"/>
      <c r="N182" s="167"/>
      <c r="O182" s="168"/>
    </row>
    <row r="183">
      <c r="B183" s="90"/>
      <c r="C183" s="90"/>
      <c r="E183" s="166"/>
      <c r="J183" s="163"/>
      <c r="L183" s="163"/>
      <c r="N183" s="167"/>
      <c r="O183" s="168"/>
    </row>
    <row r="184">
      <c r="B184" s="90"/>
      <c r="C184" s="90"/>
      <c r="E184" s="166"/>
      <c r="J184" s="163"/>
      <c r="L184" s="163"/>
      <c r="N184" s="167"/>
      <c r="O184" s="168"/>
    </row>
    <row r="185">
      <c r="B185" s="90"/>
      <c r="C185" s="90"/>
      <c r="E185" s="166"/>
      <c r="J185" s="163"/>
      <c r="L185" s="163"/>
      <c r="N185" s="167"/>
      <c r="O185" s="168"/>
    </row>
    <row r="186">
      <c r="B186" s="90"/>
      <c r="C186" s="90"/>
      <c r="E186" s="166"/>
      <c r="J186" s="163"/>
      <c r="L186" s="163"/>
      <c r="N186" s="167"/>
      <c r="O186" s="168"/>
    </row>
    <row r="187">
      <c r="B187" s="90"/>
      <c r="C187" s="90"/>
      <c r="E187" s="166"/>
      <c r="J187" s="163"/>
      <c r="L187" s="163"/>
      <c r="N187" s="167"/>
      <c r="O187" s="168"/>
    </row>
    <row r="188">
      <c r="B188" s="90"/>
      <c r="C188" s="90"/>
      <c r="E188" s="166"/>
      <c r="J188" s="163"/>
      <c r="L188" s="163"/>
      <c r="N188" s="167"/>
      <c r="O188" s="168"/>
    </row>
    <row r="189">
      <c r="B189" s="90"/>
      <c r="C189" s="90"/>
      <c r="E189" s="166"/>
      <c r="J189" s="163"/>
      <c r="L189" s="163"/>
      <c r="N189" s="167"/>
      <c r="O189" s="168"/>
    </row>
    <row r="190">
      <c r="B190" s="90"/>
      <c r="C190" s="90"/>
      <c r="E190" s="166"/>
      <c r="J190" s="163"/>
      <c r="L190" s="163"/>
      <c r="N190" s="167"/>
      <c r="O190" s="168"/>
    </row>
    <row r="191">
      <c r="B191" s="90"/>
      <c r="C191" s="90"/>
      <c r="E191" s="166"/>
      <c r="J191" s="163"/>
      <c r="L191" s="163"/>
      <c r="N191" s="167"/>
      <c r="O191" s="168"/>
    </row>
    <row r="192">
      <c r="B192" s="90"/>
      <c r="C192" s="90"/>
      <c r="E192" s="166"/>
      <c r="J192" s="163"/>
      <c r="L192" s="163"/>
      <c r="N192" s="167"/>
      <c r="O192" s="168"/>
    </row>
    <row r="193">
      <c r="B193" s="90"/>
      <c r="C193" s="90"/>
      <c r="E193" s="166"/>
      <c r="J193" s="163"/>
      <c r="L193" s="163"/>
      <c r="N193" s="167"/>
      <c r="O193" s="168"/>
    </row>
    <row r="194">
      <c r="B194" s="90"/>
      <c r="C194" s="90"/>
      <c r="E194" s="166"/>
      <c r="J194" s="163"/>
      <c r="L194" s="163"/>
      <c r="N194" s="167"/>
      <c r="O194" s="168"/>
    </row>
    <row r="195">
      <c r="B195" s="90"/>
      <c r="C195" s="90"/>
      <c r="E195" s="166"/>
      <c r="J195" s="163"/>
      <c r="L195" s="163"/>
      <c r="N195" s="167"/>
      <c r="O195" s="168"/>
    </row>
    <row r="196">
      <c r="B196" s="90"/>
      <c r="C196" s="90"/>
      <c r="E196" s="166"/>
      <c r="J196" s="163"/>
      <c r="L196" s="163"/>
      <c r="N196" s="167"/>
      <c r="O196" s="168"/>
    </row>
    <row r="197">
      <c r="B197" s="90"/>
      <c r="C197" s="90"/>
      <c r="E197" s="166"/>
      <c r="J197" s="163"/>
      <c r="L197" s="163"/>
      <c r="N197" s="167"/>
      <c r="O197" s="168"/>
    </row>
    <row r="198">
      <c r="B198" s="90"/>
      <c r="C198" s="90"/>
      <c r="E198" s="166"/>
      <c r="J198" s="163"/>
      <c r="L198" s="163"/>
      <c r="N198" s="167"/>
      <c r="O198" s="168"/>
    </row>
    <row r="199">
      <c r="B199" s="90"/>
      <c r="C199" s="90"/>
      <c r="E199" s="166"/>
      <c r="J199" s="163"/>
      <c r="L199" s="163"/>
      <c r="N199" s="167"/>
      <c r="O199" s="168"/>
    </row>
    <row r="200">
      <c r="B200" s="90"/>
      <c r="C200" s="90"/>
      <c r="E200" s="166"/>
      <c r="J200" s="163"/>
      <c r="L200" s="163"/>
      <c r="N200" s="167"/>
      <c r="O200" s="168"/>
    </row>
    <row r="201">
      <c r="B201" s="90"/>
      <c r="C201" s="90"/>
      <c r="E201" s="166"/>
      <c r="J201" s="163"/>
      <c r="L201" s="163"/>
      <c r="N201" s="167"/>
      <c r="O201" s="168"/>
    </row>
    <row r="202">
      <c r="B202" s="90"/>
      <c r="C202" s="90"/>
      <c r="E202" s="166"/>
      <c r="J202" s="163"/>
      <c r="L202" s="163"/>
      <c r="N202" s="167"/>
      <c r="O202" s="168"/>
    </row>
    <row r="203">
      <c r="B203" s="90"/>
      <c r="C203" s="90"/>
      <c r="E203" s="166"/>
      <c r="J203" s="163"/>
      <c r="L203" s="163"/>
      <c r="N203" s="167"/>
      <c r="O203" s="168"/>
    </row>
    <row r="204">
      <c r="B204" s="90"/>
      <c r="C204" s="90"/>
      <c r="E204" s="166"/>
      <c r="J204" s="163"/>
      <c r="L204" s="163"/>
      <c r="N204" s="167"/>
      <c r="O204" s="168"/>
    </row>
    <row r="205">
      <c r="B205" s="90"/>
      <c r="C205" s="90"/>
      <c r="E205" s="166"/>
      <c r="J205" s="163"/>
      <c r="L205" s="163"/>
      <c r="N205" s="167"/>
      <c r="O205" s="168"/>
    </row>
    <row r="206">
      <c r="B206" s="90"/>
      <c r="C206" s="90"/>
      <c r="E206" s="166"/>
      <c r="J206" s="163"/>
      <c r="L206" s="163"/>
      <c r="N206" s="167"/>
      <c r="O206" s="168"/>
    </row>
    <row r="207">
      <c r="B207" s="90"/>
      <c r="C207" s="90"/>
      <c r="E207" s="166"/>
      <c r="J207" s="163"/>
      <c r="L207" s="163"/>
      <c r="N207" s="167"/>
      <c r="O207" s="168"/>
    </row>
    <row r="208">
      <c r="B208" s="90"/>
      <c r="C208" s="90"/>
      <c r="E208" s="166"/>
      <c r="J208" s="163"/>
      <c r="L208" s="163"/>
      <c r="N208" s="167"/>
      <c r="O208" s="168"/>
    </row>
    <row r="209">
      <c r="B209" s="90"/>
      <c r="C209" s="90"/>
      <c r="E209" s="166"/>
      <c r="J209" s="163"/>
      <c r="L209" s="163"/>
      <c r="N209" s="167"/>
      <c r="O209" s="168"/>
    </row>
    <row r="210">
      <c r="B210" s="90"/>
      <c r="C210" s="90"/>
      <c r="E210" s="166"/>
      <c r="J210" s="163"/>
      <c r="L210" s="163"/>
      <c r="N210" s="167"/>
      <c r="O210" s="168"/>
    </row>
    <row r="211">
      <c r="B211" s="90"/>
      <c r="C211" s="90"/>
      <c r="E211" s="166"/>
      <c r="J211" s="163"/>
      <c r="L211" s="163"/>
      <c r="N211" s="167"/>
      <c r="O211" s="168"/>
    </row>
    <row r="212">
      <c r="B212" s="90"/>
      <c r="C212" s="90"/>
      <c r="E212" s="166"/>
      <c r="J212" s="163"/>
      <c r="L212" s="163"/>
      <c r="N212" s="167"/>
      <c r="O212" s="168"/>
    </row>
    <row r="213">
      <c r="B213" s="90"/>
      <c r="C213" s="90"/>
      <c r="E213" s="166"/>
      <c r="J213" s="163"/>
      <c r="L213" s="163"/>
      <c r="N213" s="167"/>
      <c r="O213" s="168"/>
    </row>
    <row r="214">
      <c r="B214" s="90"/>
      <c r="C214" s="90"/>
      <c r="E214" s="166"/>
      <c r="J214" s="163"/>
      <c r="L214" s="163"/>
      <c r="N214" s="167"/>
      <c r="O214" s="168"/>
    </row>
    <row r="215">
      <c r="B215" s="90"/>
      <c r="C215" s="90"/>
      <c r="E215" s="166"/>
      <c r="J215" s="163"/>
      <c r="L215" s="163"/>
      <c r="N215" s="167"/>
      <c r="O215" s="168"/>
    </row>
    <row r="216">
      <c r="B216" s="90"/>
      <c r="C216" s="90"/>
      <c r="E216" s="166"/>
      <c r="J216" s="163"/>
      <c r="L216" s="163"/>
      <c r="N216" s="167"/>
      <c r="O216" s="168"/>
    </row>
    <row r="217">
      <c r="B217" s="90"/>
      <c r="C217" s="90"/>
      <c r="E217" s="166"/>
      <c r="J217" s="163"/>
      <c r="L217" s="163"/>
      <c r="N217" s="167"/>
      <c r="O217" s="168"/>
    </row>
    <row r="218">
      <c r="B218" s="90"/>
      <c r="C218" s="90"/>
      <c r="E218" s="166"/>
      <c r="J218" s="163"/>
      <c r="L218" s="163"/>
      <c r="N218" s="167"/>
      <c r="O218" s="168"/>
    </row>
    <row r="219">
      <c r="B219" s="90"/>
      <c r="C219" s="90"/>
      <c r="E219" s="166"/>
      <c r="J219" s="163"/>
      <c r="L219" s="163"/>
      <c r="N219" s="167"/>
      <c r="O219" s="168"/>
    </row>
    <row r="220">
      <c r="B220" s="90"/>
      <c r="C220" s="90"/>
      <c r="E220" s="166"/>
      <c r="J220" s="163"/>
      <c r="L220" s="163"/>
      <c r="N220" s="167"/>
      <c r="O220" s="168"/>
    </row>
    <row r="221">
      <c r="B221" s="90"/>
      <c r="C221" s="90"/>
      <c r="E221" s="166"/>
      <c r="J221" s="163"/>
      <c r="L221" s="163"/>
      <c r="N221" s="167"/>
      <c r="O221" s="168"/>
    </row>
    <row r="222">
      <c r="B222" s="90"/>
      <c r="C222" s="90"/>
      <c r="E222" s="166"/>
      <c r="J222" s="163"/>
      <c r="L222" s="163"/>
      <c r="N222" s="167"/>
      <c r="O222" s="168"/>
    </row>
    <row r="223">
      <c r="B223" s="90"/>
      <c r="C223" s="90"/>
      <c r="E223" s="166"/>
      <c r="J223" s="163"/>
      <c r="L223" s="163"/>
      <c r="N223" s="167"/>
      <c r="O223" s="168"/>
    </row>
    <row r="224">
      <c r="B224" s="90"/>
      <c r="C224" s="90"/>
      <c r="E224" s="166"/>
      <c r="J224" s="163"/>
      <c r="L224" s="163"/>
      <c r="N224" s="167"/>
      <c r="O224" s="168"/>
    </row>
    <row r="225">
      <c r="B225" s="90"/>
      <c r="C225" s="90"/>
      <c r="E225" s="166"/>
      <c r="J225" s="163"/>
      <c r="L225" s="163"/>
      <c r="N225" s="167"/>
      <c r="O225" s="168"/>
    </row>
    <row r="226">
      <c r="B226" s="90"/>
      <c r="C226" s="90"/>
      <c r="E226" s="166"/>
      <c r="J226" s="163"/>
      <c r="L226" s="163"/>
      <c r="N226" s="167"/>
      <c r="O226" s="168"/>
    </row>
    <row r="227">
      <c r="B227" s="90"/>
      <c r="C227" s="90"/>
      <c r="E227" s="166"/>
      <c r="J227" s="163"/>
      <c r="L227" s="163"/>
      <c r="N227" s="167"/>
      <c r="O227" s="168"/>
    </row>
    <row r="228">
      <c r="B228" s="90"/>
      <c r="C228" s="90"/>
      <c r="E228" s="166"/>
      <c r="J228" s="163"/>
      <c r="L228" s="163"/>
      <c r="N228" s="167"/>
      <c r="O228" s="168"/>
    </row>
    <row r="229">
      <c r="B229" s="90"/>
      <c r="C229" s="90"/>
      <c r="E229" s="166"/>
      <c r="J229" s="163"/>
      <c r="L229" s="163"/>
      <c r="N229" s="167"/>
      <c r="O229" s="168"/>
    </row>
    <row r="230">
      <c r="B230" s="90"/>
      <c r="C230" s="90"/>
      <c r="E230" s="166"/>
      <c r="J230" s="163"/>
      <c r="L230" s="163"/>
      <c r="N230" s="167"/>
      <c r="O230" s="168"/>
    </row>
    <row r="231">
      <c r="B231" s="90"/>
      <c r="C231" s="90"/>
      <c r="E231" s="166"/>
      <c r="J231" s="163"/>
      <c r="L231" s="163"/>
      <c r="N231" s="167"/>
      <c r="O231" s="168"/>
    </row>
    <row r="232">
      <c r="B232" s="90"/>
      <c r="C232" s="90"/>
      <c r="E232" s="166"/>
      <c r="J232" s="163"/>
      <c r="L232" s="163"/>
      <c r="N232" s="167"/>
      <c r="O232" s="168"/>
    </row>
    <row r="233">
      <c r="B233" s="90"/>
      <c r="C233" s="90"/>
      <c r="E233" s="166"/>
      <c r="J233" s="163"/>
      <c r="L233" s="163"/>
      <c r="N233" s="167"/>
      <c r="O233" s="168"/>
    </row>
    <row r="234">
      <c r="B234" s="90"/>
      <c r="C234" s="90"/>
      <c r="E234" s="166"/>
      <c r="J234" s="163"/>
      <c r="L234" s="163"/>
      <c r="N234" s="167"/>
      <c r="O234" s="168"/>
    </row>
    <row r="235">
      <c r="B235" s="90"/>
      <c r="C235" s="90"/>
      <c r="E235" s="166"/>
      <c r="J235" s="163"/>
      <c r="L235" s="163"/>
      <c r="N235" s="167"/>
      <c r="O235" s="168"/>
    </row>
    <row r="236">
      <c r="B236" s="90"/>
      <c r="C236" s="90"/>
      <c r="E236" s="166"/>
      <c r="J236" s="163"/>
      <c r="L236" s="163"/>
      <c r="N236" s="167"/>
      <c r="O236" s="168"/>
    </row>
    <row r="237">
      <c r="B237" s="90"/>
      <c r="C237" s="90"/>
      <c r="E237" s="166"/>
      <c r="J237" s="163"/>
      <c r="L237" s="163"/>
      <c r="N237" s="167"/>
      <c r="O237" s="168"/>
    </row>
    <row r="238">
      <c r="B238" s="90"/>
      <c r="C238" s="90"/>
      <c r="E238" s="166"/>
      <c r="J238" s="163"/>
      <c r="L238" s="163"/>
      <c r="N238" s="167"/>
      <c r="O238" s="168"/>
    </row>
    <row r="239">
      <c r="B239" s="90"/>
      <c r="C239" s="90"/>
      <c r="E239" s="166"/>
      <c r="J239" s="163"/>
      <c r="L239" s="163"/>
      <c r="N239" s="167"/>
      <c r="O239" s="168"/>
    </row>
    <row r="240">
      <c r="B240" s="90"/>
      <c r="C240" s="90"/>
      <c r="E240" s="166"/>
      <c r="J240" s="163"/>
      <c r="L240" s="163"/>
      <c r="N240" s="167"/>
      <c r="O240" s="168"/>
    </row>
    <row r="241">
      <c r="B241" s="90"/>
      <c r="C241" s="90"/>
      <c r="E241" s="166"/>
      <c r="J241" s="163"/>
      <c r="L241" s="163"/>
      <c r="N241" s="167"/>
      <c r="O241" s="168"/>
    </row>
    <row r="242">
      <c r="B242" s="90"/>
      <c r="C242" s="90"/>
      <c r="E242" s="166"/>
      <c r="J242" s="163"/>
      <c r="L242" s="163"/>
      <c r="N242" s="167"/>
      <c r="O242" s="168"/>
    </row>
    <row r="243">
      <c r="B243" s="90"/>
      <c r="C243" s="90"/>
      <c r="E243" s="166"/>
      <c r="J243" s="163"/>
      <c r="L243" s="163"/>
      <c r="N243" s="167"/>
      <c r="O243" s="168"/>
    </row>
    <row r="244">
      <c r="B244" s="90"/>
      <c r="C244" s="90"/>
      <c r="E244" s="166"/>
      <c r="J244" s="163"/>
      <c r="L244" s="163"/>
      <c r="N244" s="167"/>
      <c r="O244" s="168"/>
    </row>
    <row r="245">
      <c r="B245" s="90"/>
      <c r="C245" s="90"/>
      <c r="E245" s="166"/>
      <c r="J245" s="163"/>
      <c r="L245" s="163"/>
      <c r="N245" s="167"/>
      <c r="O245" s="168"/>
    </row>
    <row r="246">
      <c r="B246" s="90"/>
      <c r="C246" s="90"/>
      <c r="E246" s="166"/>
      <c r="J246" s="163"/>
      <c r="L246" s="163"/>
      <c r="N246" s="167"/>
      <c r="O246" s="168"/>
    </row>
    <row r="247">
      <c r="B247" s="90"/>
      <c r="C247" s="90"/>
      <c r="E247" s="166"/>
      <c r="J247" s="163"/>
      <c r="L247" s="163"/>
      <c r="N247" s="167"/>
      <c r="O247" s="168"/>
    </row>
    <row r="248">
      <c r="B248" s="90"/>
      <c r="C248" s="90"/>
      <c r="E248" s="166"/>
      <c r="J248" s="163"/>
      <c r="L248" s="163"/>
      <c r="N248" s="167"/>
      <c r="O248" s="168"/>
    </row>
    <row r="249">
      <c r="B249" s="90"/>
      <c r="C249" s="90"/>
      <c r="E249" s="166"/>
      <c r="J249" s="163"/>
      <c r="L249" s="163"/>
      <c r="N249" s="167"/>
      <c r="O249" s="168"/>
    </row>
    <row r="250">
      <c r="B250" s="90"/>
      <c r="C250" s="90"/>
      <c r="E250" s="166"/>
      <c r="J250" s="163"/>
      <c r="L250" s="163"/>
      <c r="N250" s="167"/>
      <c r="O250" s="168"/>
    </row>
    <row r="251">
      <c r="B251" s="90"/>
      <c r="C251" s="90"/>
      <c r="E251" s="166"/>
      <c r="J251" s="163"/>
      <c r="L251" s="163"/>
      <c r="N251" s="167"/>
      <c r="O251" s="168"/>
    </row>
    <row r="252">
      <c r="B252" s="90"/>
      <c r="C252" s="90"/>
      <c r="E252" s="166"/>
      <c r="J252" s="163"/>
      <c r="L252" s="163"/>
      <c r="N252" s="167"/>
      <c r="O252" s="168"/>
    </row>
    <row r="253">
      <c r="B253" s="90"/>
      <c r="C253" s="90"/>
      <c r="E253" s="166"/>
      <c r="J253" s="163"/>
      <c r="L253" s="163"/>
      <c r="N253" s="167"/>
      <c r="O253" s="168"/>
    </row>
    <row r="254">
      <c r="B254" s="90"/>
      <c r="C254" s="90"/>
      <c r="E254" s="166"/>
      <c r="J254" s="163"/>
      <c r="L254" s="163"/>
      <c r="N254" s="167"/>
      <c r="O254" s="168"/>
    </row>
    <row r="255">
      <c r="B255" s="90"/>
      <c r="C255" s="90"/>
      <c r="E255" s="166"/>
      <c r="J255" s="163"/>
      <c r="L255" s="163"/>
      <c r="N255" s="167"/>
      <c r="O255" s="168"/>
    </row>
    <row r="256">
      <c r="B256" s="90"/>
      <c r="C256" s="90"/>
      <c r="E256" s="166"/>
      <c r="J256" s="163"/>
      <c r="L256" s="163"/>
      <c r="N256" s="167"/>
      <c r="O256" s="168"/>
    </row>
    <row r="257">
      <c r="B257" s="90"/>
      <c r="C257" s="90"/>
      <c r="E257" s="166"/>
      <c r="J257" s="163"/>
      <c r="L257" s="163"/>
      <c r="N257" s="167"/>
      <c r="O257" s="168"/>
    </row>
    <row r="258">
      <c r="B258" s="90"/>
      <c r="C258" s="90"/>
      <c r="E258" s="166"/>
      <c r="J258" s="163"/>
      <c r="L258" s="163"/>
      <c r="N258" s="167"/>
      <c r="O258" s="168"/>
    </row>
    <row r="259">
      <c r="B259" s="90"/>
      <c r="C259" s="90"/>
      <c r="E259" s="166"/>
      <c r="J259" s="163"/>
      <c r="L259" s="163"/>
      <c r="N259" s="167"/>
      <c r="O259" s="168"/>
    </row>
    <row r="260">
      <c r="B260" s="90"/>
      <c r="C260" s="90"/>
      <c r="E260" s="166"/>
      <c r="J260" s="163"/>
      <c r="L260" s="163"/>
      <c r="N260" s="167"/>
      <c r="O260" s="168"/>
    </row>
    <row r="261">
      <c r="B261" s="90"/>
      <c r="C261" s="90"/>
      <c r="E261" s="166"/>
      <c r="J261" s="163"/>
      <c r="L261" s="163"/>
      <c r="N261" s="167"/>
      <c r="O261" s="168"/>
    </row>
    <row r="262">
      <c r="B262" s="90"/>
      <c r="C262" s="90"/>
      <c r="E262" s="166"/>
      <c r="J262" s="163"/>
      <c r="L262" s="163"/>
      <c r="N262" s="167"/>
      <c r="O262" s="168"/>
    </row>
    <row r="263">
      <c r="B263" s="90"/>
      <c r="C263" s="90"/>
      <c r="E263" s="166"/>
      <c r="J263" s="163"/>
      <c r="L263" s="163"/>
      <c r="N263" s="167"/>
      <c r="O263" s="168"/>
    </row>
    <row r="264">
      <c r="B264" s="90"/>
      <c r="C264" s="90"/>
      <c r="E264" s="166"/>
      <c r="J264" s="163"/>
      <c r="L264" s="163"/>
      <c r="N264" s="167"/>
      <c r="O264" s="168"/>
    </row>
    <row r="265">
      <c r="B265" s="90"/>
      <c r="C265" s="90"/>
      <c r="E265" s="166"/>
      <c r="J265" s="163"/>
      <c r="L265" s="163"/>
      <c r="N265" s="167"/>
      <c r="O265" s="168"/>
    </row>
    <row r="266">
      <c r="B266" s="90"/>
      <c r="C266" s="90"/>
      <c r="E266" s="166"/>
      <c r="J266" s="163"/>
      <c r="L266" s="163"/>
      <c r="N266" s="167"/>
      <c r="O266" s="168"/>
    </row>
    <row r="267">
      <c r="B267" s="90"/>
      <c r="C267" s="90"/>
      <c r="E267" s="166"/>
      <c r="J267" s="163"/>
      <c r="L267" s="163"/>
      <c r="N267" s="167"/>
      <c r="O267" s="168"/>
    </row>
    <row r="268">
      <c r="B268" s="90"/>
      <c r="C268" s="90"/>
      <c r="E268" s="166"/>
      <c r="J268" s="163"/>
      <c r="L268" s="163"/>
      <c r="N268" s="167"/>
      <c r="O268" s="168"/>
    </row>
    <row r="269">
      <c r="B269" s="90"/>
      <c r="C269" s="90"/>
      <c r="E269" s="166"/>
      <c r="J269" s="163"/>
      <c r="L269" s="163"/>
      <c r="N269" s="167"/>
      <c r="O269" s="168"/>
    </row>
    <row r="270">
      <c r="B270" s="90"/>
      <c r="C270" s="90"/>
      <c r="E270" s="166"/>
      <c r="J270" s="163"/>
      <c r="L270" s="163"/>
      <c r="N270" s="167"/>
      <c r="O270" s="168"/>
    </row>
    <row r="271">
      <c r="B271" s="90"/>
      <c r="C271" s="90"/>
      <c r="E271" s="166"/>
      <c r="J271" s="163"/>
      <c r="L271" s="163"/>
      <c r="N271" s="167"/>
      <c r="O271" s="168"/>
    </row>
    <row r="272">
      <c r="B272" s="90"/>
      <c r="C272" s="90"/>
      <c r="E272" s="166"/>
      <c r="J272" s="163"/>
      <c r="L272" s="163"/>
      <c r="N272" s="167"/>
      <c r="O272" s="168"/>
    </row>
    <row r="273">
      <c r="B273" s="90"/>
      <c r="C273" s="90"/>
      <c r="E273" s="166"/>
      <c r="J273" s="163"/>
      <c r="L273" s="163"/>
      <c r="N273" s="167"/>
      <c r="O273" s="168"/>
    </row>
    <row r="274">
      <c r="B274" s="90"/>
      <c r="C274" s="90"/>
      <c r="E274" s="166"/>
      <c r="J274" s="163"/>
      <c r="L274" s="163"/>
      <c r="N274" s="167"/>
      <c r="O274" s="168"/>
    </row>
    <row r="275">
      <c r="B275" s="90"/>
      <c r="C275" s="90"/>
      <c r="E275" s="166"/>
      <c r="J275" s="163"/>
      <c r="L275" s="163"/>
      <c r="N275" s="167"/>
      <c r="O275" s="168"/>
    </row>
    <row r="276">
      <c r="B276" s="90"/>
      <c r="C276" s="90"/>
      <c r="E276" s="166"/>
      <c r="J276" s="163"/>
      <c r="L276" s="163"/>
      <c r="N276" s="167"/>
      <c r="O276" s="168"/>
    </row>
    <row r="277">
      <c r="B277" s="90"/>
      <c r="C277" s="90"/>
      <c r="E277" s="166"/>
      <c r="J277" s="163"/>
      <c r="L277" s="163"/>
      <c r="N277" s="167"/>
      <c r="O277" s="168"/>
    </row>
    <row r="278">
      <c r="B278" s="90"/>
      <c r="C278" s="90"/>
      <c r="E278" s="166"/>
      <c r="J278" s="163"/>
      <c r="L278" s="163"/>
      <c r="N278" s="167"/>
      <c r="O278" s="168"/>
    </row>
    <row r="279">
      <c r="B279" s="90"/>
      <c r="C279" s="90"/>
      <c r="E279" s="166"/>
      <c r="J279" s="163"/>
      <c r="L279" s="163"/>
      <c r="N279" s="167"/>
      <c r="O279" s="168"/>
    </row>
    <row r="280">
      <c r="B280" s="90"/>
      <c r="C280" s="90"/>
      <c r="E280" s="166"/>
      <c r="J280" s="163"/>
      <c r="L280" s="163"/>
      <c r="N280" s="167"/>
      <c r="O280" s="168"/>
    </row>
    <row r="281">
      <c r="B281" s="90"/>
      <c r="C281" s="90"/>
      <c r="E281" s="166"/>
      <c r="J281" s="163"/>
      <c r="L281" s="163"/>
      <c r="N281" s="167"/>
      <c r="O281" s="168"/>
    </row>
    <row r="282">
      <c r="B282" s="90"/>
      <c r="C282" s="90"/>
      <c r="E282" s="166"/>
      <c r="J282" s="163"/>
      <c r="L282" s="163"/>
      <c r="N282" s="167"/>
      <c r="O282" s="168"/>
    </row>
    <row r="283">
      <c r="B283" s="90"/>
      <c r="C283" s="90"/>
      <c r="E283" s="166"/>
      <c r="J283" s="163"/>
      <c r="L283" s="163"/>
      <c r="N283" s="167"/>
      <c r="O283" s="168"/>
    </row>
    <row r="284">
      <c r="B284" s="90"/>
      <c r="C284" s="90"/>
      <c r="E284" s="166"/>
      <c r="J284" s="163"/>
      <c r="L284" s="163"/>
      <c r="N284" s="167"/>
      <c r="O284" s="168"/>
    </row>
    <row r="285">
      <c r="B285" s="90"/>
      <c r="C285" s="90"/>
      <c r="E285" s="166"/>
      <c r="J285" s="163"/>
      <c r="L285" s="163"/>
      <c r="N285" s="167"/>
      <c r="O285" s="168"/>
    </row>
    <row r="286">
      <c r="B286" s="90"/>
      <c r="C286" s="90"/>
      <c r="E286" s="166"/>
      <c r="J286" s="163"/>
      <c r="L286" s="163"/>
      <c r="N286" s="167"/>
      <c r="O286" s="168"/>
    </row>
    <row r="287">
      <c r="B287" s="90"/>
      <c r="C287" s="90"/>
      <c r="E287" s="166"/>
      <c r="J287" s="163"/>
      <c r="L287" s="163"/>
      <c r="N287" s="167"/>
      <c r="O287" s="168"/>
    </row>
    <row r="288">
      <c r="B288" s="90"/>
      <c r="C288" s="90"/>
      <c r="E288" s="166"/>
      <c r="J288" s="163"/>
      <c r="L288" s="163"/>
      <c r="N288" s="167"/>
      <c r="O288" s="168"/>
    </row>
    <row r="289">
      <c r="B289" s="90"/>
      <c r="C289" s="90"/>
      <c r="E289" s="166"/>
      <c r="J289" s="163"/>
      <c r="L289" s="163"/>
      <c r="N289" s="167"/>
      <c r="O289" s="168"/>
    </row>
    <row r="290">
      <c r="B290" s="90"/>
      <c r="C290" s="90"/>
      <c r="E290" s="166"/>
      <c r="J290" s="163"/>
      <c r="L290" s="163"/>
      <c r="N290" s="167"/>
      <c r="O290" s="168"/>
    </row>
    <row r="291">
      <c r="B291" s="90"/>
      <c r="C291" s="90"/>
      <c r="E291" s="166"/>
      <c r="J291" s="163"/>
      <c r="L291" s="163"/>
      <c r="N291" s="167"/>
      <c r="O291" s="168"/>
    </row>
    <row r="292">
      <c r="B292" s="90"/>
      <c r="C292" s="90"/>
      <c r="E292" s="166"/>
      <c r="J292" s="163"/>
      <c r="L292" s="163"/>
      <c r="N292" s="167"/>
      <c r="O292" s="168"/>
    </row>
    <row r="293">
      <c r="B293" s="90"/>
      <c r="C293" s="90"/>
      <c r="E293" s="166"/>
      <c r="J293" s="163"/>
      <c r="L293" s="163"/>
      <c r="N293" s="167"/>
      <c r="O293" s="168"/>
    </row>
    <row r="294">
      <c r="B294" s="90"/>
      <c r="C294" s="90"/>
      <c r="E294" s="166"/>
      <c r="J294" s="163"/>
      <c r="L294" s="163"/>
      <c r="N294" s="167"/>
      <c r="O294" s="168"/>
    </row>
    <row r="295">
      <c r="B295" s="90"/>
      <c r="C295" s="90"/>
      <c r="E295" s="166"/>
      <c r="J295" s="163"/>
      <c r="L295" s="163"/>
      <c r="N295" s="167"/>
      <c r="O295" s="168"/>
    </row>
    <row r="296">
      <c r="B296" s="90"/>
      <c r="C296" s="90"/>
      <c r="E296" s="166"/>
      <c r="J296" s="163"/>
      <c r="L296" s="163"/>
      <c r="N296" s="167"/>
      <c r="O296" s="168"/>
    </row>
    <row r="297">
      <c r="B297" s="90"/>
      <c r="C297" s="90"/>
      <c r="E297" s="166"/>
      <c r="J297" s="163"/>
      <c r="L297" s="163"/>
      <c r="N297" s="167"/>
      <c r="O297" s="168"/>
    </row>
    <row r="298">
      <c r="B298" s="90"/>
      <c r="C298" s="90"/>
      <c r="E298" s="166"/>
      <c r="J298" s="163"/>
      <c r="L298" s="163"/>
      <c r="N298" s="167"/>
      <c r="O298" s="168"/>
    </row>
    <row r="299">
      <c r="B299" s="90"/>
      <c r="C299" s="90"/>
      <c r="E299" s="166"/>
      <c r="J299" s="163"/>
      <c r="L299" s="163"/>
      <c r="N299" s="167"/>
      <c r="O299" s="168"/>
    </row>
    <row r="300">
      <c r="B300" s="90"/>
      <c r="C300" s="90"/>
      <c r="E300" s="166"/>
      <c r="J300" s="163"/>
      <c r="L300" s="163"/>
      <c r="N300" s="167"/>
      <c r="O300" s="168"/>
    </row>
    <row r="301">
      <c r="B301" s="90"/>
      <c r="C301" s="90"/>
      <c r="E301" s="166"/>
      <c r="J301" s="163"/>
      <c r="L301" s="163"/>
      <c r="N301" s="167"/>
      <c r="O301" s="168"/>
    </row>
    <row r="302">
      <c r="B302" s="90"/>
      <c r="C302" s="90"/>
      <c r="E302" s="166"/>
      <c r="J302" s="163"/>
      <c r="L302" s="163"/>
      <c r="N302" s="167"/>
      <c r="O302" s="168"/>
    </row>
    <row r="303">
      <c r="B303" s="90"/>
      <c r="C303" s="90"/>
      <c r="E303" s="166"/>
      <c r="J303" s="163"/>
      <c r="L303" s="163"/>
      <c r="N303" s="167"/>
      <c r="O303" s="168"/>
    </row>
    <row r="304">
      <c r="B304" s="90"/>
      <c r="C304" s="90"/>
      <c r="E304" s="166"/>
      <c r="J304" s="163"/>
      <c r="L304" s="163"/>
      <c r="N304" s="167"/>
      <c r="O304" s="168"/>
    </row>
    <row r="305">
      <c r="B305" s="90"/>
      <c r="C305" s="90"/>
      <c r="E305" s="166"/>
      <c r="J305" s="163"/>
      <c r="L305" s="163"/>
      <c r="N305" s="167"/>
      <c r="O305" s="168"/>
    </row>
    <row r="306">
      <c r="B306" s="90"/>
      <c r="C306" s="90"/>
      <c r="E306" s="166"/>
      <c r="J306" s="163"/>
      <c r="L306" s="163"/>
      <c r="N306" s="167"/>
      <c r="O306" s="168"/>
    </row>
    <row r="307">
      <c r="B307" s="90"/>
      <c r="C307" s="90"/>
      <c r="E307" s="166"/>
      <c r="J307" s="163"/>
      <c r="L307" s="163"/>
      <c r="N307" s="167"/>
      <c r="O307" s="168"/>
    </row>
    <row r="308">
      <c r="B308" s="90"/>
      <c r="C308" s="90"/>
      <c r="E308" s="166"/>
      <c r="J308" s="163"/>
      <c r="L308" s="163"/>
      <c r="N308" s="167"/>
      <c r="O308" s="168"/>
    </row>
    <row r="309">
      <c r="B309" s="90"/>
      <c r="C309" s="90"/>
      <c r="E309" s="166"/>
      <c r="J309" s="163"/>
      <c r="L309" s="163"/>
      <c r="N309" s="167"/>
      <c r="O309" s="168"/>
    </row>
    <row r="310">
      <c r="B310" s="90"/>
      <c r="C310" s="90"/>
      <c r="E310" s="166"/>
      <c r="J310" s="163"/>
      <c r="L310" s="163"/>
      <c r="N310" s="167"/>
      <c r="O310" s="168"/>
    </row>
    <row r="311">
      <c r="B311" s="90"/>
      <c r="C311" s="90"/>
      <c r="E311" s="166"/>
      <c r="J311" s="163"/>
      <c r="L311" s="163"/>
      <c r="N311" s="167"/>
      <c r="O311" s="168"/>
    </row>
    <row r="312">
      <c r="B312" s="90"/>
      <c r="C312" s="90"/>
      <c r="E312" s="166"/>
      <c r="J312" s="163"/>
      <c r="L312" s="163"/>
      <c r="N312" s="167"/>
      <c r="O312" s="168"/>
    </row>
    <row r="313">
      <c r="B313" s="90"/>
      <c r="C313" s="90"/>
      <c r="E313" s="166"/>
      <c r="J313" s="163"/>
      <c r="L313" s="163"/>
      <c r="N313" s="167"/>
      <c r="O313" s="168"/>
    </row>
    <row r="314">
      <c r="B314" s="90"/>
      <c r="C314" s="90"/>
      <c r="E314" s="166"/>
      <c r="J314" s="163"/>
      <c r="L314" s="163"/>
      <c r="N314" s="167"/>
      <c r="O314" s="168"/>
    </row>
    <row r="315">
      <c r="B315" s="90"/>
      <c r="C315" s="90"/>
      <c r="E315" s="166"/>
      <c r="J315" s="163"/>
      <c r="L315" s="163"/>
      <c r="N315" s="167"/>
      <c r="O315" s="168"/>
    </row>
    <row r="316">
      <c r="B316" s="90"/>
      <c r="C316" s="90"/>
      <c r="E316" s="166"/>
      <c r="J316" s="163"/>
      <c r="L316" s="163"/>
      <c r="N316" s="167"/>
      <c r="O316" s="168"/>
    </row>
    <row r="317">
      <c r="B317" s="90"/>
      <c r="C317" s="90"/>
      <c r="E317" s="166"/>
      <c r="J317" s="163"/>
      <c r="L317" s="163"/>
      <c r="N317" s="167"/>
      <c r="O317" s="168"/>
    </row>
    <row r="318">
      <c r="B318" s="90"/>
      <c r="C318" s="90"/>
      <c r="E318" s="166"/>
      <c r="J318" s="163"/>
      <c r="L318" s="163"/>
      <c r="N318" s="167"/>
      <c r="O318" s="168"/>
    </row>
    <row r="319">
      <c r="B319" s="90"/>
      <c r="C319" s="90"/>
      <c r="E319" s="166"/>
      <c r="J319" s="163"/>
      <c r="L319" s="163"/>
      <c r="N319" s="167"/>
      <c r="O319" s="168"/>
    </row>
    <row r="320">
      <c r="B320" s="90"/>
      <c r="C320" s="90"/>
      <c r="E320" s="166"/>
      <c r="J320" s="163"/>
      <c r="L320" s="163"/>
      <c r="N320" s="167"/>
      <c r="O320" s="168"/>
    </row>
    <row r="321">
      <c r="B321" s="90"/>
      <c r="C321" s="90"/>
      <c r="E321" s="166"/>
      <c r="J321" s="163"/>
      <c r="L321" s="163"/>
      <c r="N321" s="167"/>
      <c r="O321" s="168"/>
    </row>
    <row r="322">
      <c r="B322" s="90"/>
      <c r="C322" s="90"/>
      <c r="E322" s="166"/>
      <c r="J322" s="163"/>
      <c r="L322" s="163"/>
      <c r="N322" s="167"/>
      <c r="O322" s="168"/>
    </row>
    <row r="323">
      <c r="B323" s="90"/>
      <c r="C323" s="90"/>
      <c r="E323" s="166"/>
      <c r="J323" s="163"/>
      <c r="L323" s="163"/>
      <c r="N323" s="167"/>
      <c r="O323" s="168"/>
    </row>
    <row r="324">
      <c r="B324" s="90"/>
      <c r="C324" s="90"/>
      <c r="E324" s="166"/>
      <c r="J324" s="163"/>
      <c r="L324" s="163"/>
      <c r="N324" s="167"/>
      <c r="O324" s="168"/>
    </row>
    <row r="325">
      <c r="B325" s="90"/>
      <c r="C325" s="90"/>
      <c r="E325" s="166"/>
      <c r="J325" s="163"/>
      <c r="L325" s="163"/>
      <c r="N325" s="167"/>
      <c r="O325" s="168"/>
    </row>
    <row r="326">
      <c r="B326" s="90"/>
      <c r="C326" s="90"/>
      <c r="E326" s="166"/>
      <c r="J326" s="163"/>
      <c r="L326" s="163"/>
      <c r="N326" s="167"/>
      <c r="O326" s="168"/>
    </row>
    <row r="327">
      <c r="B327" s="90"/>
      <c r="C327" s="90"/>
      <c r="E327" s="166"/>
      <c r="J327" s="163"/>
      <c r="L327" s="163"/>
      <c r="N327" s="167"/>
      <c r="O327" s="168"/>
    </row>
    <row r="328">
      <c r="B328" s="90"/>
      <c r="C328" s="90"/>
      <c r="E328" s="166"/>
      <c r="J328" s="163"/>
      <c r="L328" s="163"/>
      <c r="N328" s="167"/>
      <c r="O328" s="168"/>
    </row>
    <row r="329">
      <c r="B329" s="90"/>
      <c r="C329" s="90"/>
      <c r="E329" s="166"/>
      <c r="J329" s="163"/>
      <c r="L329" s="163"/>
      <c r="N329" s="167"/>
      <c r="O329" s="168"/>
    </row>
    <row r="330">
      <c r="B330" s="90"/>
      <c r="C330" s="90"/>
      <c r="E330" s="166"/>
      <c r="J330" s="163"/>
      <c r="L330" s="163"/>
      <c r="N330" s="167"/>
      <c r="O330" s="168"/>
    </row>
    <row r="331">
      <c r="B331" s="90"/>
      <c r="C331" s="90"/>
      <c r="E331" s="166"/>
      <c r="J331" s="163"/>
      <c r="L331" s="163"/>
      <c r="N331" s="167"/>
      <c r="O331" s="168"/>
    </row>
    <row r="332">
      <c r="B332" s="90"/>
      <c r="C332" s="90"/>
      <c r="E332" s="166"/>
      <c r="J332" s="163"/>
      <c r="L332" s="163"/>
      <c r="N332" s="167"/>
      <c r="O332" s="168"/>
    </row>
    <row r="333">
      <c r="B333" s="90"/>
      <c r="C333" s="90"/>
      <c r="E333" s="166"/>
      <c r="J333" s="163"/>
      <c r="L333" s="163"/>
      <c r="N333" s="167"/>
      <c r="O333" s="168"/>
    </row>
    <row r="334">
      <c r="B334" s="90"/>
      <c r="C334" s="90"/>
      <c r="E334" s="166"/>
      <c r="J334" s="163"/>
      <c r="L334" s="163"/>
      <c r="N334" s="167"/>
      <c r="O334" s="168"/>
    </row>
    <row r="335">
      <c r="B335" s="90"/>
      <c r="C335" s="90"/>
      <c r="E335" s="166"/>
      <c r="J335" s="163"/>
      <c r="L335" s="163"/>
      <c r="N335" s="167"/>
      <c r="O335" s="168"/>
    </row>
    <row r="336">
      <c r="B336" s="90"/>
      <c r="C336" s="90"/>
      <c r="E336" s="166"/>
      <c r="J336" s="163"/>
      <c r="L336" s="163"/>
      <c r="N336" s="167"/>
      <c r="O336" s="168"/>
    </row>
    <row r="337">
      <c r="B337" s="90"/>
      <c r="C337" s="90"/>
      <c r="E337" s="166"/>
      <c r="J337" s="163"/>
      <c r="L337" s="163"/>
      <c r="N337" s="167"/>
      <c r="O337" s="168"/>
    </row>
    <row r="338">
      <c r="B338" s="90"/>
      <c r="C338" s="90"/>
      <c r="E338" s="166"/>
      <c r="J338" s="163"/>
      <c r="L338" s="163"/>
      <c r="N338" s="167"/>
      <c r="O338" s="168"/>
    </row>
    <row r="339">
      <c r="B339" s="90"/>
      <c r="C339" s="90"/>
      <c r="E339" s="166"/>
      <c r="J339" s="163"/>
      <c r="L339" s="163"/>
      <c r="N339" s="167"/>
      <c r="O339" s="168"/>
    </row>
    <row r="340">
      <c r="B340" s="90"/>
      <c r="C340" s="90"/>
      <c r="E340" s="166"/>
      <c r="J340" s="163"/>
      <c r="L340" s="163"/>
      <c r="N340" s="167"/>
      <c r="O340" s="168"/>
    </row>
    <row r="341">
      <c r="B341" s="90"/>
      <c r="C341" s="90"/>
      <c r="E341" s="166"/>
      <c r="J341" s="163"/>
      <c r="L341" s="163"/>
      <c r="N341" s="167"/>
      <c r="O341" s="168"/>
    </row>
    <row r="342">
      <c r="B342" s="90"/>
      <c r="C342" s="90"/>
      <c r="E342" s="166"/>
      <c r="J342" s="163"/>
      <c r="L342" s="163"/>
      <c r="N342" s="167"/>
      <c r="O342" s="168"/>
    </row>
    <row r="343">
      <c r="B343" s="90"/>
      <c r="C343" s="90"/>
      <c r="E343" s="166"/>
      <c r="J343" s="163"/>
      <c r="L343" s="163"/>
      <c r="N343" s="167"/>
      <c r="O343" s="168"/>
    </row>
    <row r="344">
      <c r="B344" s="90"/>
      <c r="C344" s="90"/>
      <c r="E344" s="166"/>
      <c r="J344" s="163"/>
      <c r="L344" s="163"/>
      <c r="N344" s="167"/>
      <c r="O344" s="168"/>
    </row>
    <row r="345">
      <c r="B345" s="90"/>
      <c r="C345" s="90"/>
      <c r="E345" s="166"/>
      <c r="J345" s="163"/>
      <c r="L345" s="163"/>
      <c r="N345" s="167"/>
      <c r="O345" s="168"/>
    </row>
    <row r="346">
      <c r="B346" s="90"/>
      <c r="C346" s="90"/>
      <c r="E346" s="166"/>
      <c r="J346" s="163"/>
      <c r="L346" s="163"/>
      <c r="N346" s="167"/>
      <c r="O346" s="168"/>
    </row>
    <row r="347">
      <c r="B347" s="90"/>
      <c r="C347" s="90"/>
      <c r="E347" s="166"/>
      <c r="J347" s="163"/>
      <c r="L347" s="163"/>
      <c r="N347" s="167"/>
      <c r="O347" s="168"/>
    </row>
    <row r="348">
      <c r="B348" s="90"/>
      <c r="C348" s="90"/>
      <c r="E348" s="166"/>
      <c r="J348" s="163"/>
      <c r="L348" s="163"/>
      <c r="N348" s="167"/>
      <c r="O348" s="168"/>
    </row>
    <row r="349">
      <c r="B349" s="90"/>
      <c r="C349" s="90"/>
      <c r="E349" s="166"/>
      <c r="J349" s="163"/>
      <c r="L349" s="163"/>
      <c r="N349" s="167"/>
      <c r="O349" s="168"/>
    </row>
    <row r="350">
      <c r="B350" s="90"/>
      <c r="C350" s="90"/>
      <c r="E350" s="166"/>
      <c r="J350" s="163"/>
      <c r="L350" s="163"/>
      <c r="N350" s="167"/>
      <c r="O350" s="168"/>
    </row>
    <row r="351">
      <c r="B351" s="90"/>
      <c r="C351" s="90"/>
      <c r="E351" s="166"/>
      <c r="J351" s="163"/>
      <c r="L351" s="163"/>
      <c r="N351" s="167"/>
      <c r="O351" s="168"/>
    </row>
    <row r="352">
      <c r="B352" s="90"/>
      <c r="C352" s="90"/>
      <c r="E352" s="166"/>
      <c r="J352" s="163"/>
      <c r="L352" s="163"/>
      <c r="N352" s="167"/>
      <c r="O352" s="168"/>
    </row>
    <row r="353">
      <c r="B353" s="90"/>
      <c r="C353" s="90"/>
      <c r="E353" s="166"/>
      <c r="J353" s="163"/>
      <c r="L353" s="163"/>
      <c r="N353" s="167"/>
      <c r="O353" s="168"/>
    </row>
    <row r="354">
      <c r="B354" s="90"/>
      <c r="C354" s="90"/>
      <c r="E354" s="166"/>
      <c r="J354" s="163"/>
      <c r="L354" s="163"/>
      <c r="N354" s="167"/>
      <c r="O354" s="168"/>
    </row>
    <row r="355">
      <c r="B355" s="90"/>
      <c r="C355" s="90"/>
      <c r="E355" s="166"/>
      <c r="J355" s="163"/>
      <c r="L355" s="163"/>
      <c r="N355" s="167"/>
      <c r="O355" s="168"/>
    </row>
    <row r="356">
      <c r="B356" s="90"/>
      <c r="C356" s="90"/>
      <c r="E356" s="166"/>
      <c r="J356" s="163"/>
      <c r="L356" s="163"/>
      <c r="N356" s="167"/>
      <c r="O356" s="168"/>
    </row>
    <row r="357">
      <c r="B357" s="90"/>
      <c r="C357" s="90"/>
      <c r="E357" s="166"/>
      <c r="J357" s="163"/>
      <c r="L357" s="163"/>
      <c r="N357" s="167"/>
      <c r="O357" s="168"/>
    </row>
    <row r="358">
      <c r="B358" s="90"/>
      <c r="C358" s="90"/>
      <c r="E358" s="166"/>
      <c r="J358" s="163"/>
      <c r="L358" s="163"/>
      <c r="N358" s="167"/>
      <c r="O358" s="168"/>
    </row>
    <row r="359">
      <c r="B359" s="90"/>
      <c r="C359" s="90"/>
      <c r="E359" s="166"/>
      <c r="J359" s="163"/>
      <c r="L359" s="163"/>
      <c r="N359" s="167"/>
      <c r="O359" s="168"/>
    </row>
    <row r="360">
      <c r="B360" s="90"/>
      <c r="C360" s="90"/>
      <c r="E360" s="166"/>
      <c r="J360" s="163"/>
      <c r="L360" s="163"/>
      <c r="N360" s="167"/>
      <c r="O360" s="168"/>
    </row>
    <row r="361">
      <c r="B361" s="90"/>
      <c r="C361" s="90"/>
      <c r="E361" s="166"/>
      <c r="J361" s="163"/>
      <c r="L361" s="163"/>
      <c r="N361" s="167"/>
      <c r="O361" s="168"/>
    </row>
    <row r="362">
      <c r="B362" s="90"/>
      <c r="C362" s="90"/>
      <c r="E362" s="166"/>
      <c r="J362" s="163"/>
      <c r="L362" s="163"/>
      <c r="N362" s="167"/>
      <c r="O362" s="168"/>
    </row>
    <row r="363">
      <c r="B363" s="90"/>
      <c r="C363" s="90"/>
      <c r="E363" s="166"/>
      <c r="J363" s="163"/>
      <c r="L363" s="163"/>
      <c r="N363" s="167"/>
      <c r="O363" s="168"/>
    </row>
    <row r="364">
      <c r="B364" s="90"/>
      <c r="C364" s="90"/>
      <c r="E364" s="166"/>
      <c r="J364" s="163"/>
      <c r="L364" s="163"/>
      <c r="N364" s="167"/>
      <c r="O364" s="168"/>
    </row>
    <row r="365">
      <c r="B365" s="90"/>
      <c r="C365" s="90"/>
      <c r="E365" s="166"/>
      <c r="J365" s="163"/>
      <c r="L365" s="163"/>
      <c r="N365" s="167"/>
      <c r="O365" s="168"/>
    </row>
    <row r="366">
      <c r="B366" s="90"/>
      <c r="C366" s="90"/>
      <c r="E366" s="166"/>
      <c r="J366" s="163"/>
      <c r="L366" s="163"/>
      <c r="N366" s="167"/>
      <c r="O366" s="168"/>
    </row>
    <row r="367">
      <c r="B367" s="90"/>
      <c r="C367" s="90"/>
      <c r="E367" s="166"/>
      <c r="J367" s="163"/>
      <c r="L367" s="163"/>
      <c r="N367" s="167"/>
      <c r="O367" s="168"/>
    </row>
    <row r="368">
      <c r="B368" s="90"/>
      <c r="C368" s="90"/>
      <c r="E368" s="166"/>
      <c r="J368" s="163"/>
      <c r="L368" s="163"/>
      <c r="N368" s="167"/>
      <c r="O368" s="168"/>
    </row>
    <row r="369">
      <c r="B369" s="90"/>
      <c r="C369" s="90"/>
      <c r="E369" s="166"/>
      <c r="J369" s="163"/>
      <c r="L369" s="163"/>
      <c r="N369" s="167"/>
      <c r="O369" s="168"/>
    </row>
    <row r="370">
      <c r="B370" s="90"/>
      <c r="C370" s="90"/>
      <c r="E370" s="166"/>
      <c r="J370" s="163"/>
      <c r="L370" s="163"/>
      <c r="N370" s="167"/>
      <c r="O370" s="168"/>
    </row>
    <row r="371">
      <c r="B371" s="90"/>
      <c r="C371" s="90"/>
      <c r="E371" s="166"/>
      <c r="J371" s="163"/>
      <c r="L371" s="163"/>
      <c r="N371" s="167"/>
      <c r="O371" s="168"/>
    </row>
    <row r="372">
      <c r="B372" s="90"/>
      <c r="C372" s="90"/>
      <c r="E372" s="166"/>
      <c r="J372" s="163"/>
      <c r="L372" s="163"/>
      <c r="N372" s="167"/>
      <c r="O372" s="168"/>
    </row>
    <row r="373">
      <c r="B373" s="90"/>
      <c r="C373" s="90"/>
      <c r="E373" s="166"/>
      <c r="J373" s="163"/>
      <c r="L373" s="163"/>
      <c r="N373" s="167"/>
      <c r="O373" s="168"/>
    </row>
    <row r="374">
      <c r="B374" s="90"/>
      <c r="C374" s="90"/>
      <c r="E374" s="166"/>
      <c r="J374" s="163"/>
      <c r="L374" s="163"/>
      <c r="N374" s="167"/>
      <c r="O374" s="168"/>
    </row>
    <row r="375">
      <c r="B375" s="90"/>
      <c r="C375" s="90"/>
      <c r="E375" s="166"/>
      <c r="J375" s="163"/>
      <c r="L375" s="163"/>
      <c r="N375" s="167"/>
      <c r="O375" s="168"/>
    </row>
    <row r="376">
      <c r="B376" s="90"/>
      <c r="C376" s="90"/>
      <c r="E376" s="166"/>
      <c r="J376" s="163"/>
      <c r="L376" s="163"/>
      <c r="N376" s="167"/>
      <c r="O376" s="168"/>
    </row>
    <row r="377">
      <c r="B377" s="90"/>
      <c r="C377" s="90"/>
      <c r="E377" s="166"/>
      <c r="J377" s="163"/>
      <c r="L377" s="163"/>
      <c r="N377" s="167"/>
      <c r="O377" s="168"/>
    </row>
    <row r="378">
      <c r="B378" s="90"/>
      <c r="C378" s="90"/>
      <c r="E378" s="166"/>
      <c r="J378" s="163"/>
      <c r="L378" s="163"/>
      <c r="N378" s="167"/>
      <c r="O378" s="168"/>
    </row>
    <row r="379">
      <c r="B379" s="90"/>
      <c r="C379" s="90"/>
      <c r="E379" s="166"/>
      <c r="J379" s="163"/>
      <c r="L379" s="163"/>
      <c r="N379" s="167"/>
      <c r="O379" s="168"/>
    </row>
    <row r="380">
      <c r="B380" s="90"/>
      <c r="C380" s="90"/>
      <c r="E380" s="166"/>
      <c r="J380" s="163"/>
      <c r="L380" s="163"/>
      <c r="N380" s="167"/>
      <c r="O380" s="168"/>
    </row>
    <row r="381">
      <c r="B381" s="90"/>
      <c r="C381" s="90"/>
      <c r="E381" s="166"/>
      <c r="J381" s="163"/>
      <c r="L381" s="163"/>
      <c r="N381" s="167"/>
      <c r="O381" s="168"/>
    </row>
    <row r="382">
      <c r="B382" s="90"/>
      <c r="C382" s="90"/>
      <c r="E382" s="166"/>
      <c r="J382" s="163"/>
      <c r="L382" s="163"/>
      <c r="N382" s="167"/>
      <c r="O382" s="168"/>
    </row>
    <row r="383">
      <c r="B383" s="90"/>
      <c r="C383" s="90"/>
      <c r="E383" s="166"/>
      <c r="J383" s="163"/>
      <c r="L383" s="163"/>
      <c r="N383" s="167"/>
      <c r="O383" s="168"/>
    </row>
    <row r="384">
      <c r="B384" s="90"/>
      <c r="C384" s="90"/>
      <c r="E384" s="166"/>
      <c r="J384" s="163"/>
      <c r="L384" s="163"/>
      <c r="N384" s="167"/>
      <c r="O384" s="168"/>
    </row>
    <row r="385">
      <c r="B385" s="90"/>
      <c r="C385" s="90"/>
      <c r="E385" s="166"/>
      <c r="J385" s="163"/>
      <c r="L385" s="163"/>
      <c r="N385" s="167"/>
      <c r="O385" s="168"/>
    </row>
    <row r="386">
      <c r="B386" s="90"/>
      <c r="C386" s="90"/>
      <c r="E386" s="166"/>
      <c r="J386" s="163"/>
      <c r="L386" s="163"/>
      <c r="N386" s="167"/>
      <c r="O386" s="168"/>
    </row>
    <row r="387">
      <c r="B387" s="90"/>
      <c r="C387" s="90"/>
      <c r="E387" s="166"/>
      <c r="J387" s="163"/>
      <c r="L387" s="163"/>
      <c r="N387" s="167"/>
      <c r="O387" s="168"/>
    </row>
    <row r="388">
      <c r="B388" s="90"/>
      <c r="C388" s="90"/>
      <c r="E388" s="166"/>
      <c r="J388" s="163"/>
      <c r="L388" s="163"/>
      <c r="N388" s="167"/>
      <c r="O388" s="168"/>
    </row>
    <row r="389">
      <c r="B389" s="90"/>
      <c r="C389" s="90"/>
      <c r="E389" s="166"/>
      <c r="J389" s="163"/>
      <c r="L389" s="163"/>
      <c r="N389" s="167"/>
      <c r="O389" s="168"/>
    </row>
    <row r="390">
      <c r="B390" s="90"/>
      <c r="C390" s="90"/>
      <c r="E390" s="166"/>
      <c r="J390" s="163"/>
      <c r="L390" s="163"/>
      <c r="N390" s="167"/>
      <c r="O390" s="168"/>
    </row>
    <row r="391">
      <c r="B391" s="90"/>
      <c r="C391" s="90"/>
      <c r="E391" s="166"/>
      <c r="J391" s="163"/>
      <c r="L391" s="163"/>
      <c r="N391" s="167"/>
      <c r="O391" s="168"/>
    </row>
    <row r="392">
      <c r="B392" s="90"/>
      <c r="C392" s="90"/>
      <c r="E392" s="166"/>
      <c r="J392" s="163"/>
      <c r="L392" s="163"/>
      <c r="N392" s="167"/>
      <c r="O392" s="168"/>
    </row>
    <row r="393">
      <c r="B393" s="90"/>
      <c r="C393" s="90"/>
      <c r="E393" s="166"/>
      <c r="J393" s="163"/>
      <c r="L393" s="163"/>
      <c r="N393" s="167"/>
      <c r="O393" s="168"/>
    </row>
    <row r="394">
      <c r="B394" s="90"/>
      <c r="C394" s="90"/>
      <c r="E394" s="166"/>
      <c r="J394" s="163"/>
      <c r="L394" s="163"/>
      <c r="N394" s="167"/>
      <c r="O394" s="168"/>
    </row>
    <row r="395">
      <c r="B395" s="90"/>
      <c r="C395" s="90"/>
      <c r="E395" s="166"/>
      <c r="J395" s="163"/>
      <c r="L395" s="163"/>
      <c r="N395" s="167"/>
      <c r="O395" s="168"/>
    </row>
    <row r="396">
      <c r="B396" s="90"/>
      <c r="C396" s="90"/>
      <c r="E396" s="166"/>
      <c r="J396" s="163"/>
      <c r="L396" s="163"/>
      <c r="N396" s="167"/>
      <c r="O396" s="168"/>
    </row>
    <row r="397">
      <c r="B397" s="90"/>
      <c r="C397" s="90"/>
      <c r="E397" s="166"/>
      <c r="J397" s="163"/>
      <c r="L397" s="163"/>
      <c r="N397" s="167"/>
      <c r="O397" s="168"/>
    </row>
    <row r="398">
      <c r="B398" s="90"/>
      <c r="C398" s="90"/>
      <c r="E398" s="166"/>
      <c r="J398" s="163"/>
      <c r="L398" s="163"/>
      <c r="N398" s="167"/>
      <c r="O398" s="168"/>
    </row>
    <row r="399">
      <c r="B399" s="90"/>
      <c r="C399" s="90"/>
      <c r="E399" s="166"/>
      <c r="J399" s="163"/>
      <c r="L399" s="163"/>
      <c r="N399" s="167"/>
      <c r="O399" s="168"/>
    </row>
    <row r="400">
      <c r="B400" s="90"/>
      <c r="C400" s="90"/>
      <c r="E400" s="166"/>
      <c r="J400" s="163"/>
      <c r="L400" s="163"/>
      <c r="N400" s="167"/>
      <c r="O400" s="168"/>
    </row>
    <row r="401">
      <c r="B401" s="90"/>
      <c r="C401" s="90"/>
      <c r="E401" s="166"/>
      <c r="J401" s="163"/>
      <c r="L401" s="163"/>
      <c r="N401" s="167"/>
      <c r="O401" s="168"/>
    </row>
    <row r="402">
      <c r="B402" s="90"/>
      <c r="C402" s="90"/>
      <c r="E402" s="166"/>
      <c r="J402" s="163"/>
      <c r="L402" s="163"/>
      <c r="N402" s="167"/>
      <c r="O402" s="168"/>
    </row>
    <row r="403">
      <c r="B403" s="90"/>
      <c r="C403" s="90"/>
      <c r="E403" s="166"/>
      <c r="J403" s="163"/>
      <c r="L403" s="163"/>
      <c r="N403" s="167"/>
      <c r="O403" s="168"/>
    </row>
    <row r="404">
      <c r="B404" s="90"/>
      <c r="C404" s="90"/>
      <c r="E404" s="166"/>
      <c r="J404" s="163"/>
      <c r="L404" s="163"/>
      <c r="N404" s="167"/>
      <c r="O404" s="168"/>
    </row>
    <row r="405">
      <c r="B405" s="90"/>
      <c r="C405" s="90"/>
      <c r="E405" s="166"/>
      <c r="J405" s="163"/>
      <c r="L405" s="163"/>
      <c r="N405" s="167"/>
      <c r="O405" s="168"/>
    </row>
    <row r="406">
      <c r="B406" s="90"/>
      <c r="C406" s="90"/>
      <c r="E406" s="166"/>
      <c r="J406" s="163"/>
      <c r="L406" s="163"/>
      <c r="N406" s="167"/>
      <c r="O406" s="168"/>
    </row>
    <row r="407">
      <c r="B407" s="90"/>
      <c r="C407" s="90"/>
      <c r="E407" s="166"/>
      <c r="J407" s="163"/>
      <c r="L407" s="163"/>
      <c r="N407" s="167"/>
      <c r="O407" s="168"/>
    </row>
    <row r="408">
      <c r="B408" s="90"/>
      <c r="C408" s="90"/>
      <c r="E408" s="166"/>
      <c r="J408" s="163"/>
      <c r="L408" s="163"/>
      <c r="N408" s="167"/>
      <c r="O408" s="168"/>
    </row>
    <row r="409">
      <c r="B409" s="90"/>
      <c r="C409" s="90"/>
      <c r="E409" s="166"/>
      <c r="J409" s="163"/>
      <c r="L409" s="163"/>
      <c r="N409" s="167"/>
      <c r="O409" s="168"/>
    </row>
    <row r="410">
      <c r="B410" s="90"/>
      <c r="C410" s="90"/>
      <c r="E410" s="166"/>
      <c r="J410" s="163"/>
      <c r="L410" s="163"/>
      <c r="N410" s="167"/>
      <c r="O410" s="168"/>
    </row>
    <row r="411">
      <c r="B411" s="90"/>
      <c r="C411" s="90"/>
      <c r="E411" s="166"/>
      <c r="J411" s="163"/>
      <c r="L411" s="163"/>
      <c r="N411" s="167"/>
      <c r="O411" s="168"/>
    </row>
    <row r="412">
      <c r="B412" s="90"/>
      <c r="C412" s="90"/>
      <c r="E412" s="166"/>
      <c r="J412" s="163"/>
      <c r="L412" s="163"/>
      <c r="N412" s="167"/>
      <c r="O412" s="168"/>
    </row>
    <row r="413">
      <c r="B413" s="90"/>
      <c r="C413" s="90"/>
      <c r="E413" s="166"/>
      <c r="J413" s="163"/>
      <c r="L413" s="163"/>
      <c r="N413" s="167"/>
      <c r="O413" s="168"/>
    </row>
    <row r="414">
      <c r="B414" s="90"/>
      <c r="C414" s="90"/>
      <c r="E414" s="166"/>
      <c r="J414" s="163"/>
      <c r="L414" s="163"/>
      <c r="N414" s="167"/>
      <c r="O414" s="168"/>
    </row>
    <row r="415">
      <c r="B415" s="90"/>
      <c r="C415" s="90"/>
      <c r="E415" s="166"/>
      <c r="J415" s="163"/>
      <c r="L415" s="163"/>
      <c r="N415" s="167"/>
      <c r="O415" s="168"/>
    </row>
    <row r="416">
      <c r="B416" s="90"/>
      <c r="C416" s="90"/>
      <c r="E416" s="166"/>
      <c r="J416" s="163"/>
      <c r="L416" s="163"/>
      <c r="N416" s="167"/>
      <c r="O416" s="168"/>
    </row>
    <row r="417">
      <c r="B417" s="90"/>
      <c r="C417" s="90"/>
      <c r="E417" s="166"/>
      <c r="J417" s="163"/>
      <c r="L417" s="163"/>
      <c r="N417" s="167"/>
      <c r="O417" s="168"/>
    </row>
    <row r="418">
      <c r="B418" s="90"/>
      <c r="C418" s="90"/>
      <c r="E418" s="166"/>
      <c r="J418" s="163"/>
      <c r="L418" s="163"/>
      <c r="N418" s="167"/>
      <c r="O418" s="168"/>
    </row>
    <row r="419">
      <c r="B419" s="90"/>
      <c r="C419" s="90"/>
      <c r="E419" s="166"/>
      <c r="J419" s="163"/>
      <c r="L419" s="163"/>
      <c r="N419" s="167"/>
      <c r="O419" s="168"/>
    </row>
    <row r="420">
      <c r="B420" s="90"/>
      <c r="C420" s="90"/>
      <c r="E420" s="166"/>
      <c r="J420" s="163"/>
      <c r="L420" s="163"/>
      <c r="N420" s="167"/>
      <c r="O420" s="168"/>
    </row>
    <row r="421">
      <c r="B421" s="90"/>
      <c r="C421" s="90"/>
      <c r="E421" s="166"/>
      <c r="J421" s="163"/>
      <c r="L421" s="163"/>
      <c r="N421" s="167"/>
      <c r="O421" s="168"/>
    </row>
    <row r="422">
      <c r="B422" s="90"/>
      <c r="C422" s="90"/>
      <c r="E422" s="166"/>
      <c r="J422" s="163"/>
      <c r="L422" s="163"/>
      <c r="N422" s="167"/>
      <c r="O422" s="168"/>
    </row>
    <row r="423">
      <c r="B423" s="90"/>
      <c r="C423" s="90"/>
      <c r="E423" s="166"/>
      <c r="J423" s="163"/>
      <c r="L423" s="163"/>
      <c r="N423" s="167"/>
      <c r="O423" s="168"/>
    </row>
    <row r="424">
      <c r="B424" s="90"/>
      <c r="C424" s="90"/>
      <c r="E424" s="166"/>
      <c r="J424" s="163"/>
      <c r="L424" s="163"/>
      <c r="N424" s="167"/>
      <c r="O424" s="168"/>
    </row>
    <row r="425">
      <c r="B425" s="90"/>
      <c r="C425" s="90"/>
      <c r="E425" s="166"/>
      <c r="J425" s="163"/>
      <c r="L425" s="163"/>
      <c r="N425" s="167"/>
      <c r="O425" s="168"/>
    </row>
    <row r="426">
      <c r="B426" s="90"/>
      <c r="C426" s="90"/>
      <c r="E426" s="166"/>
      <c r="J426" s="163"/>
      <c r="L426" s="163"/>
      <c r="N426" s="167"/>
      <c r="O426" s="168"/>
    </row>
    <row r="427">
      <c r="B427" s="90"/>
      <c r="C427" s="90"/>
      <c r="E427" s="166"/>
      <c r="J427" s="163"/>
      <c r="L427" s="163"/>
      <c r="N427" s="167"/>
      <c r="O427" s="168"/>
    </row>
    <row r="428">
      <c r="B428" s="90"/>
      <c r="C428" s="90"/>
      <c r="E428" s="166"/>
      <c r="J428" s="163"/>
      <c r="L428" s="163"/>
      <c r="N428" s="167"/>
      <c r="O428" s="168"/>
    </row>
    <row r="429">
      <c r="B429" s="90"/>
      <c r="C429" s="90"/>
      <c r="E429" s="166"/>
      <c r="J429" s="163"/>
      <c r="L429" s="163"/>
      <c r="N429" s="167"/>
      <c r="O429" s="168"/>
    </row>
    <row r="430">
      <c r="B430" s="90"/>
      <c r="C430" s="90"/>
      <c r="E430" s="166"/>
      <c r="J430" s="163"/>
      <c r="L430" s="163"/>
      <c r="N430" s="167"/>
      <c r="O430" s="168"/>
    </row>
    <row r="431">
      <c r="B431" s="90"/>
      <c r="C431" s="90"/>
      <c r="E431" s="166"/>
      <c r="J431" s="163"/>
      <c r="L431" s="163"/>
      <c r="N431" s="167"/>
      <c r="O431" s="168"/>
    </row>
    <row r="432">
      <c r="B432" s="90"/>
      <c r="C432" s="90"/>
      <c r="E432" s="166"/>
      <c r="J432" s="163"/>
      <c r="L432" s="163"/>
      <c r="N432" s="167"/>
      <c r="O432" s="168"/>
    </row>
    <row r="433">
      <c r="B433" s="90"/>
      <c r="C433" s="90"/>
      <c r="E433" s="166"/>
      <c r="J433" s="163"/>
      <c r="L433" s="163"/>
      <c r="N433" s="167"/>
      <c r="O433" s="168"/>
    </row>
    <row r="434">
      <c r="B434" s="90"/>
      <c r="C434" s="90"/>
      <c r="E434" s="166"/>
      <c r="J434" s="163"/>
      <c r="L434" s="163"/>
      <c r="N434" s="167"/>
      <c r="O434" s="168"/>
    </row>
    <row r="435">
      <c r="B435" s="90"/>
      <c r="C435" s="90"/>
      <c r="E435" s="166"/>
      <c r="J435" s="163"/>
      <c r="L435" s="163"/>
      <c r="N435" s="167"/>
      <c r="O435" s="168"/>
    </row>
    <row r="436">
      <c r="B436" s="90"/>
      <c r="C436" s="90"/>
      <c r="E436" s="166"/>
      <c r="J436" s="163"/>
      <c r="L436" s="163"/>
      <c r="N436" s="167"/>
      <c r="O436" s="168"/>
    </row>
    <row r="437">
      <c r="B437" s="90"/>
      <c r="C437" s="90"/>
      <c r="E437" s="166"/>
      <c r="J437" s="163"/>
      <c r="L437" s="163"/>
      <c r="N437" s="167"/>
      <c r="O437" s="168"/>
    </row>
    <row r="438">
      <c r="B438" s="90"/>
      <c r="C438" s="90"/>
      <c r="E438" s="166"/>
      <c r="J438" s="163"/>
      <c r="L438" s="163"/>
      <c r="N438" s="167"/>
      <c r="O438" s="168"/>
    </row>
    <row r="439">
      <c r="B439" s="90"/>
      <c r="C439" s="90"/>
      <c r="E439" s="166"/>
      <c r="J439" s="163"/>
      <c r="L439" s="163"/>
      <c r="N439" s="167"/>
      <c r="O439" s="168"/>
    </row>
    <row r="440">
      <c r="B440" s="90"/>
      <c r="C440" s="90"/>
      <c r="E440" s="166"/>
      <c r="J440" s="163"/>
      <c r="L440" s="163"/>
      <c r="N440" s="167"/>
      <c r="O440" s="168"/>
    </row>
    <row r="441">
      <c r="B441" s="90"/>
      <c r="C441" s="90"/>
      <c r="E441" s="166"/>
      <c r="J441" s="163"/>
      <c r="L441" s="163"/>
      <c r="N441" s="167"/>
      <c r="O441" s="168"/>
    </row>
    <row r="442">
      <c r="B442" s="90"/>
      <c r="C442" s="90"/>
      <c r="E442" s="166"/>
      <c r="J442" s="163"/>
      <c r="L442" s="163"/>
      <c r="N442" s="167"/>
      <c r="O442" s="168"/>
    </row>
    <row r="443">
      <c r="B443" s="90"/>
      <c r="C443" s="90"/>
      <c r="E443" s="166"/>
      <c r="J443" s="163"/>
      <c r="L443" s="163"/>
      <c r="N443" s="167"/>
      <c r="O443" s="168"/>
    </row>
    <row r="444">
      <c r="B444" s="90"/>
      <c r="C444" s="90"/>
      <c r="E444" s="166"/>
      <c r="J444" s="163"/>
      <c r="L444" s="163"/>
      <c r="N444" s="167"/>
      <c r="O444" s="168"/>
    </row>
    <row r="445">
      <c r="B445" s="90"/>
      <c r="C445" s="90"/>
      <c r="E445" s="166"/>
      <c r="J445" s="163"/>
      <c r="L445" s="163"/>
      <c r="N445" s="167"/>
      <c r="O445" s="168"/>
    </row>
    <row r="446">
      <c r="B446" s="90"/>
      <c r="C446" s="90"/>
      <c r="E446" s="166"/>
      <c r="J446" s="163"/>
      <c r="L446" s="163"/>
      <c r="N446" s="167"/>
      <c r="O446" s="168"/>
    </row>
    <row r="447">
      <c r="B447" s="90"/>
      <c r="C447" s="90"/>
      <c r="E447" s="166"/>
      <c r="J447" s="163"/>
      <c r="L447" s="163"/>
      <c r="N447" s="167"/>
      <c r="O447" s="168"/>
    </row>
    <row r="448">
      <c r="B448" s="90"/>
      <c r="C448" s="90"/>
      <c r="E448" s="166"/>
      <c r="J448" s="163"/>
      <c r="L448" s="163"/>
      <c r="N448" s="167"/>
      <c r="O448" s="168"/>
    </row>
    <row r="449">
      <c r="B449" s="90"/>
      <c r="C449" s="90"/>
      <c r="E449" s="166"/>
      <c r="J449" s="163"/>
      <c r="L449" s="163"/>
      <c r="N449" s="167"/>
      <c r="O449" s="168"/>
    </row>
    <row r="450">
      <c r="B450" s="90"/>
      <c r="C450" s="90"/>
      <c r="E450" s="166"/>
      <c r="J450" s="163"/>
      <c r="L450" s="163"/>
      <c r="N450" s="167"/>
      <c r="O450" s="168"/>
    </row>
    <row r="451">
      <c r="B451" s="90"/>
      <c r="C451" s="90"/>
      <c r="E451" s="166"/>
      <c r="J451" s="163"/>
      <c r="L451" s="163"/>
      <c r="N451" s="167"/>
      <c r="O451" s="168"/>
    </row>
    <row r="452">
      <c r="B452" s="90"/>
      <c r="C452" s="90"/>
      <c r="E452" s="166"/>
      <c r="J452" s="163"/>
      <c r="L452" s="163"/>
      <c r="N452" s="167"/>
      <c r="O452" s="168"/>
    </row>
    <row r="453">
      <c r="B453" s="90"/>
      <c r="C453" s="90"/>
      <c r="E453" s="166"/>
      <c r="J453" s="163"/>
      <c r="L453" s="163"/>
      <c r="N453" s="167"/>
      <c r="O453" s="168"/>
    </row>
    <row r="454">
      <c r="B454" s="90"/>
      <c r="C454" s="90"/>
      <c r="E454" s="166"/>
      <c r="J454" s="163"/>
      <c r="L454" s="163"/>
      <c r="N454" s="167"/>
      <c r="O454" s="168"/>
    </row>
    <row r="455">
      <c r="B455" s="90"/>
      <c r="C455" s="90"/>
      <c r="E455" s="166"/>
      <c r="J455" s="163"/>
      <c r="L455" s="163"/>
      <c r="N455" s="167"/>
      <c r="O455" s="168"/>
    </row>
    <row r="456">
      <c r="B456" s="90"/>
      <c r="C456" s="90"/>
      <c r="E456" s="166"/>
      <c r="J456" s="163"/>
      <c r="L456" s="163"/>
      <c r="N456" s="167"/>
      <c r="O456" s="168"/>
    </row>
    <row r="457">
      <c r="B457" s="90"/>
      <c r="C457" s="90"/>
      <c r="E457" s="166"/>
      <c r="J457" s="163"/>
      <c r="L457" s="163"/>
      <c r="N457" s="167"/>
      <c r="O457" s="168"/>
    </row>
    <row r="458">
      <c r="B458" s="90"/>
      <c r="C458" s="90"/>
      <c r="E458" s="166"/>
      <c r="J458" s="163"/>
      <c r="L458" s="163"/>
      <c r="N458" s="167"/>
      <c r="O458" s="168"/>
    </row>
    <row r="459">
      <c r="B459" s="90"/>
      <c r="C459" s="90"/>
      <c r="E459" s="166"/>
      <c r="J459" s="163"/>
      <c r="L459" s="163"/>
      <c r="N459" s="167"/>
      <c r="O459" s="168"/>
    </row>
    <row r="460">
      <c r="B460" s="90"/>
      <c r="C460" s="90"/>
      <c r="E460" s="166"/>
      <c r="J460" s="163"/>
      <c r="L460" s="163"/>
      <c r="N460" s="167"/>
      <c r="O460" s="168"/>
    </row>
    <row r="461">
      <c r="B461" s="90"/>
      <c r="C461" s="90"/>
      <c r="E461" s="166"/>
      <c r="J461" s="163"/>
      <c r="L461" s="163"/>
      <c r="N461" s="167"/>
      <c r="O461" s="168"/>
    </row>
    <row r="462">
      <c r="B462" s="90"/>
      <c r="C462" s="90"/>
      <c r="E462" s="166"/>
      <c r="J462" s="163"/>
      <c r="L462" s="163"/>
      <c r="N462" s="167"/>
      <c r="O462" s="168"/>
    </row>
    <row r="463">
      <c r="B463" s="90"/>
      <c r="C463" s="90"/>
      <c r="E463" s="166"/>
      <c r="J463" s="163"/>
      <c r="L463" s="163"/>
      <c r="N463" s="167"/>
      <c r="O463" s="168"/>
    </row>
    <row r="464">
      <c r="B464" s="90"/>
      <c r="C464" s="90"/>
      <c r="E464" s="166"/>
      <c r="J464" s="163"/>
      <c r="L464" s="163"/>
      <c r="N464" s="167"/>
      <c r="O464" s="168"/>
    </row>
    <row r="465">
      <c r="B465" s="90"/>
      <c r="C465" s="90"/>
      <c r="E465" s="166"/>
      <c r="J465" s="163"/>
      <c r="L465" s="163"/>
      <c r="N465" s="167"/>
      <c r="O465" s="168"/>
    </row>
    <row r="466">
      <c r="B466" s="90"/>
      <c r="C466" s="90"/>
      <c r="E466" s="166"/>
      <c r="J466" s="163"/>
      <c r="L466" s="163"/>
      <c r="N466" s="167"/>
      <c r="O466" s="168"/>
    </row>
    <row r="467">
      <c r="B467" s="90"/>
      <c r="C467" s="90"/>
      <c r="E467" s="166"/>
      <c r="J467" s="163"/>
      <c r="L467" s="163"/>
      <c r="N467" s="167"/>
      <c r="O467" s="168"/>
    </row>
    <row r="468">
      <c r="B468" s="90"/>
      <c r="C468" s="90"/>
      <c r="E468" s="166"/>
      <c r="J468" s="163"/>
      <c r="L468" s="163"/>
      <c r="N468" s="167"/>
      <c r="O468" s="168"/>
    </row>
    <row r="469">
      <c r="B469" s="90"/>
      <c r="C469" s="90"/>
      <c r="E469" s="166"/>
      <c r="J469" s="163"/>
      <c r="L469" s="163"/>
      <c r="N469" s="167"/>
      <c r="O469" s="168"/>
    </row>
    <row r="470">
      <c r="B470" s="90"/>
      <c r="C470" s="90"/>
      <c r="E470" s="166"/>
      <c r="J470" s="163"/>
      <c r="L470" s="163"/>
      <c r="N470" s="167"/>
      <c r="O470" s="168"/>
    </row>
    <row r="471">
      <c r="B471" s="90"/>
      <c r="C471" s="90"/>
      <c r="E471" s="166"/>
      <c r="J471" s="163"/>
      <c r="L471" s="163"/>
      <c r="N471" s="167"/>
      <c r="O471" s="168"/>
    </row>
    <row r="472">
      <c r="B472" s="90"/>
      <c r="C472" s="90"/>
      <c r="E472" s="166"/>
      <c r="J472" s="163"/>
      <c r="L472" s="163"/>
      <c r="N472" s="167"/>
      <c r="O472" s="168"/>
    </row>
    <row r="473">
      <c r="B473" s="90"/>
      <c r="C473" s="90"/>
      <c r="E473" s="166"/>
      <c r="J473" s="163"/>
      <c r="L473" s="163"/>
      <c r="N473" s="167"/>
      <c r="O473" s="168"/>
    </row>
    <row r="474">
      <c r="B474" s="90"/>
      <c r="C474" s="90"/>
      <c r="E474" s="166"/>
      <c r="J474" s="163"/>
      <c r="L474" s="163"/>
      <c r="N474" s="167"/>
      <c r="O474" s="168"/>
    </row>
    <row r="475">
      <c r="B475" s="90"/>
      <c r="C475" s="90"/>
      <c r="E475" s="166"/>
      <c r="J475" s="163"/>
      <c r="L475" s="163"/>
      <c r="N475" s="167"/>
      <c r="O475" s="168"/>
    </row>
    <row r="476">
      <c r="B476" s="90"/>
      <c r="C476" s="90"/>
      <c r="E476" s="166"/>
      <c r="J476" s="163"/>
      <c r="L476" s="163"/>
      <c r="N476" s="167"/>
      <c r="O476" s="168"/>
    </row>
    <row r="477">
      <c r="B477" s="90"/>
      <c r="C477" s="90"/>
      <c r="E477" s="166"/>
      <c r="J477" s="163"/>
      <c r="L477" s="163"/>
      <c r="N477" s="167"/>
      <c r="O477" s="168"/>
    </row>
    <row r="478">
      <c r="B478" s="90"/>
      <c r="C478" s="90"/>
      <c r="E478" s="166"/>
      <c r="J478" s="163"/>
      <c r="L478" s="163"/>
      <c r="N478" s="167"/>
      <c r="O478" s="168"/>
    </row>
    <row r="479">
      <c r="B479" s="90"/>
      <c r="C479" s="90"/>
      <c r="E479" s="166"/>
      <c r="J479" s="163"/>
      <c r="L479" s="163"/>
      <c r="N479" s="167"/>
      <c r="O479" s="168"/>
    </row>
    <row r="480">
      <c r="B480" s="90"/>
      <c r="C480" s="90"/>
      <c r="E480" s="166"/>
      <c r="J480" s="163"/>
      <c r="L480" s="163"/>
      <c r="N480" s="167"/>
      <c r="O480" s="168"/>
    </row>
    <row r="481">
      <c r="B481" s="90"/>
      <c r="C481" s="90"/>
      <c r="E481" s="166"/>
      <c r="J481" s="163"/>
      <c r="L481" s="163"/>
      <c r="N481" s="167"/>
      <c r="O481" s="168"/>
    </row>
    <row r="482">
      <c r="B482" s="90"/>
      <c r="C482" s="90"/>
      <c r="E482" s="166"/>
      <c r="J482" s="163"/>
      <c r="L482" s="163"/>
      <c r="N482" s="167"/>
      <c r="O482" s="168"/>
    </row>
    <row r="483">
      <c r="B483" s="90"/>
      <c r="C483" s="90"/>
      <c r="E483" s="166"/>
      <c r="J483" s="163"/>
      <c r="L483" s="163"/>
      <c r="N483" s="167"/>
      <c r="O483" s="168"/>
    </row>
    <row r="484">
      <c r="B484" s="90"/>
      <c r="C484" s="90"/>
      <c r="E484" s="166"/>
      <c r="J484" s="163"/>
      <c r="L484" s="163"/>
      <c r="N484" s="167"/>
      <c r="O484" s="168"/>
    </row>
    <row r="485">
      <c r="B485" s="90"/>
      <c r="C485" s="90"/>
      <c r="E485" s="166"/>
      <c r="J485" s="163"/>
      <c r="L485" s="163"/>
      <c r="N485" s="167"/>
      <c r="O485" s="168"/>
    </row>
    <row r="486">
      <c r="B486" s="90"/>
      <c r="C486" s="90"/>
      <c r="E486" s="166"/>
      <c r="J486" s="163"/>
      <c r="L486" s="163"/>
      <c r="N486" s="167"/>
      <c r="O486" s="168"/>
    </row>
    <row r="487">
      <c r="B487" s="90"/>
      <c r="C487" s="90"/>
      <c r="E487" s="166"/>
      <c r="J487" s="163"/>
      <c r="L487" s="163"/>
      <c r="N487" s="167"/>
      <c r="O487" s="168"/>
    </row>
    <row r="488">
      <c r="B488" s="90"/>
      <c r="C488" s="90"/>
      <c r="E488" s="166"/>
      <c r="J488" s="163"/>
      <c r="L488" s="163"/>
      <c r="N488" s="167"/>
      <c r="O488" s="168"/>
    </row>
    <row r="489">
      <c r="B489" s="90"/>
      <c r="C489" s="90"/>
      <c r="E489" s="166"/>
      <c r="J489" s="163"/>
      <c r="L489" s="163"/>
      <c r="N489" s="167"/>
      <c r="O489" s="168"/>
    </row>
    <row r="490">
      <c r="B490" s="90"/>
      <c r="C490" s="90"/>
      <c r="E490" s="166"/>
      <c r="J490" s="163"/>
      <c r="L490" s="163"/>
      <c r="N490" s="167"/>
      <c r="O490" s="168"/>
    </row>
    <row r="491">
      <c r="B491" s="90"/>
      <c r="C491" s="90"/>
      <c r="E491" s="166"/>
      <c r="J491" s="163"/>
      <c r="L491" s="163"/>
      <c r="N491" s="167"/>
      <c r="O491" s="168"/>
    </row>
    <row r="492">
      <c r="B492" s="90"/>
      <c r="C492" s="90"/>
      <c r="E492" s="166"/>
      <c r="J492" s="163"/>
      <c r="L492" s="163"/>
      <c r="N492" s="167"/>
      <c r="O492" s="168"/>
    </row>
    <row r="493">
      <c r="B493" s="90"/>
      <c r="C493" s="90"/>
      <c r="E493" s="166"/>
      <c r="J493" s="163"/>
      <c r="L493" s="163"/>
      <c r="N493" s="167"/>
      <c r="O493" s="168"/>
    </row>
    <row r="494">
      <c r="B494" s="90"/>
      <c r="C494" s="90"/>
      <c r="E494" s="166"/>
      <c r="J494" s="163"/>
      <c r="L494" s="163"/>
      <c r="N494" s="167"/>
      <c r="O494" s="168"/>
    </row>
    <row r="495">
      <c r="B495" s="90"/>
      <c r="C495" s="90"/>
      <c r="E495" s="166"/>
      <c r="J495" s="163"/>
      <c r="L495" s="163"/>
      <c r="N495" s="167"/>
      <c r="O495" s="168"/>
    </row>
    <row r="496">
      <c r="B496" s="90"/>
      <c r="C496" s="90"/>
      <c r="E496" s="166"/>
      <c r="J496" s="163"/>
      <c r="L496" s="163"/>
      <c r="N496" s="167"/>
      <c r="O496" s="168"/>
    </row>
    <row r="497">
      <c r="B497" s="90"/>
      <c r="C497" s="90"/>
      <c r="E497" s="166"/>
      <c r="J497" s="163"/>
      <c r="L497" s="163"/>
      <c r="N497" s="167"/>
      <c r="O497" s="168"/>
    </row>
    <row r="498">
      <c r="B498" s="90"/>
      <c r="C498" s="90"/>
      <c r="E498" s="166"/>
      <c r="J498" s="163"/>
      <c r="L498" s="163"/>
      <c r="N498" s="167"/>
      <c r="O498" s="168"/>
    </row>
    <row r="499">
      <c r="B499" s="90"/>
      <c r="C499" s="90"/>
      <c r="E499" s="166"/>
      <c r="J499" s="163"/>
      <c r="L499" s="163"/>
      <c r="N499" s="167"/>
      <c r="O499" s="168"/>
    </row>
    <row r="500">
      <c r="B500" s="90"/>
      <c r="C500" s="90"/>
      <c r="E500" s="166"/>
      <c r="J500" s="163"/>
      <c r="L500" s="163"/>
      <c r="N500" s="167"/>
      <c r="O500" s="168"/>
    </row>
    <row r="501">
      <c r="B501" s="90"/>
      <c r="C501" s="90"/>
      <c r="E501" s="166"/>
      <c r="J501" s="163"/>
      <c r="L501" s="163"/>
      <c r="N501" s="167"/>
      <c r="O501" s="168"/>
    </row>
    <row r="502">
      <c r="B502" s="90"/>
      <c r="C502" s="90"/>
      <c r="E502" s="166"/>
      <c r="J502" s="163"/>
      <c r="L502" s="163"/>
      <c r="N502" s="167"/>
      <c r="O502" s="168"/>
    </row>
    <row r="503">
      <c r="B503" s="90"/>
      <c r="C503" s="90"/>
      <c r="E503" s="166"/>
      <c r="J503" s="163"/>
      <c r="L503" s="163"/>
      <c r="N503" s="167"/>
      <c r="O503" s="168"/>
    </row>
    <row r="504">
      <c r="B504" s="90"/>
      <c r="C504" s="90"/>
      <c r="E504" s="166"/>
      <c r="J504" s="163"/>
      <c r="L504" s="163"/>
      <c r="N504" s="167"/>
      <c r="O504" s="168"/>
    </row>
    <row r="505">
      <c r="B505" s="90"/>
      <c r="C505" s="90"/>
      <c r="E505" s="166"/>
      <c r="J505" s="163"/>
      <c r="L505" s="163"/>
      <c r="N505" s="167"/>
      <c r="O505" s="168"/>
    </row>
    <row r="506">
      <c r="B506" s="90"/>
      <c r="C506" s="90"/>
      <c r="E506" s="166"/>
      <c r="J506" s="163"/>
      <c r="L506" s="163"/>
      <c r="N506" s="167"/>
      <c r="O506" s="168"/>
    </row>
    <row r="507">
      <c r="B507" s="90"/>
      <c r="C507" s="90"/>
      <c r="E507" s="166"/>
      <c r="J507" s="163"/>
      <c r="L507" s="163"/>
      <c r="N507" s="167"/>
      <c r="O507" s="168"/>
    </row>
    <row r="508">
      <c r="B508" s="90"/>
      <c r="C508" s="90"/>
      <c r="E508" s="166"/>
      <c r="J508" s="163"/>
      <c r="L508" s="163"/>
      <c r="N508" s="167"/>
      <c r="O508" s="168"/>
    </row>
    <row r="509">
      <c r="B509" s="90"/>
      <c r="C509" s="90"/>
      <c r="E509" s="166"/>
      <c r="J509" s="163"/>
      <c r="L509" s="163"/>
      <c r="N509" s="167"/>
      <c r="O509" s="168"/>
    </row>
    <row r="510">
      <c r="B510" s="90"/>
      <c r="C510" s="90"/>
      <c r="E510" s="166"/>
      <c r="J510" s="163"/>
      <c r="L510" s="163"/>
      <c r="N510" s="167"/>
      <c r="O510" s="168"/>
    </row>
    <row r="511">
      <c r="B511" s="90"/>
      <c r="C511" s="90"/>
      <c r="E511" s="166"/>
      <c r="J511" s="163"/>
      <c r="L511" s="163"/>
      <c r="N511" s="167"/>
      <c r="O511" s="168"/>
    </row>
    <row r="512">
      <c r="B512" s="90"/>
      <c r="C512" s="90"/>
      <c r="E512" s="166"/>
      <c r="J512" s="163"/>
      <c r="L512" s="163"/>
      <c r="N512" s="167"/>
      <c r="O512" s="168"/>
    </row>
    <row r="513">
      <c r="B513" s="90"/>
      <c r="C513" s="90"/>
      <c r="E513" s="166"/>
      <c r="J513" s="163"/>
      <c r="L513" s="163"/>
      <c r="N513" s="167"/>
      <c r="O513" s="168"/>
    </row>
    <row r="514">
      <c r="B514" s="90"/>
      <c r="C514" s="90"/>
      <c r="E514" s="166"/>
      <c r="J514" s="163"/>
      <c r="L514" s="163"/>
      <c r="N514" s="167"/>
      <c r="O514" s="168"/>
    </row>
    <row r="515">
      <c r="B515" s="90"/>
      <c r="C515" s="90"/>
      <c r="E515" s="166"/>
      <c r="J515" s="163"/>
      <c r="L515" s="163"/>
      <c r="N515" s="167"/>
      <c r="O515" s="168"/>
    </row>
    <row r="516">
      <c r="B516" s="90"/>
      <c r="C516" s="90"/>
      <c r="E516" s="166"/>
      <c r="J516" s="163"/>
      <c r="L516" s="163"/>
      <c r="N516" s="167"/>
      <c r="O516" s="168"/>
    </row>
    <row r="517">
      <c r="B517" s="90"/>
      <c r="C517" s="90"/>
      <c r="E517" s="166"/>
      <c r="J517" s="163"/>
      <c r="L517" s="163"/>
      <c r="N517" s="167"/>
      <c r="O517" s="168"/>
    </row>
    <row r="518">
      <c r="B518" s="90"/>
      <c r="C518" s="90"/>
      <c r="E518" s="166"/>
      <c r="J518" s="163"/>
      <c r="L518" s="163"/>
      <c r="N518" s="167"/>
      <c r="O518" s="168"/>
    </row>
    <row r="519">
      <c r="B519" s="90"/>
      <c r="C519" s="90"/>
      <c r="E519" s="166"/>
      <c r="J519" s="163"/>
      <c r="L519" s="163"/>
      <c r="N519" s="167"/>
      <c r="O519" s="168"/>
    </row>
    <row r="520">
      <c r="B520" s="90"/>
      <c r="C520" s="90"/>
      <c r="E520" s="166"/>
      <c r="J520" s="163"/>
      <c r="L520" s="163"/>
      <c r="N520" s="167"/>
      <c r="O520" s="168"/>
    </row>
    <row r="521">
      <c r="B521" s="90"/>
      <c r="C521" s="90"/>
      <c r="E521" s="166"/>
      <c r="J521" s="163"/>
      <c r="L521" s="163"/>
      <c r="N521" s="167"/>
      <c r="O521" s="168"/>
    </row>
    <row r="522">
      <c r="B522" s="90"/>
      <c r="C522" s="90"/>
      <c r="E522" s="166"/>
      <c r="J522" s="163"/>
      <c r="L522" s="163"/>
      <c r="N522" s="167"/>
      <c r="O522" s="168"/>
    </row>
    <row r="523">
      <c r="B523" s="90"/>
      <c r="C523" s="90"/>
      <c r="E523" s="166"/>
      <c r="J523" s="163"/>
      <c r="L523" s="163"/>
      <c r="N523" s="167"/>
      <c r="O523" s="168"/>
    </row>
    <row r="524">
      <c r="B524" s="90"/>
      <c r="C524" s="90"/>
      <c r="E524" s="166"/>
      <c r="J524" s="163"/>
      <c r="L524" s="163"/>
      <c r="N524" s="167"/>
      <c r="O524" s="168"/>
    </row>
    <row r="525">
      <c r="B525" s="90"/>
      <c r="C525" s="90"/>
      <c r="E525" s="166"/>
      <c r="J525" s="163"/>
      <c r="L525" s="163"/>
      <c r="N525" s="167"/>
      <c r="O525" s="168"/>
    </row>
    <row r="526">
      <c r="B526" s="90"/>
      <c r="C526" s="90"/>
      <c r="E526" s="166"/>
      <c r="J526" s="163"/>
      <c r="L526" s="163"/>
      <c r="N526" s="167"/>
      <c r="O526" s="168"/>
    </row>
    <row r="527">
      <c r="B527" s="90"/>
      <c r="C527" s="90"/>
      <c r="E527" s="166"/>
      <c r="J527" s="163"/>
      <c r="L527" s="163"/>
      <c r="N527" s="167"/>
      <c r="O527" s="168"/>
    </row>
    <row r="528">
      <c r="B528" s="90"/>
      <c r="C528" s="90"/>
      <c r="E528" s="166"/>
      <c r="J528" s="163"/>
      <c r="L528" s="163"/>
      <c r="N528" s="167"/>
      <c r="O528" s="168"/>
    </row>
    <row r="529">
      <c r="B529" s="90"/>
      <c r="C529" s="90"/>
      <c r="E529" s="166"/>
      <c r="J529" s="163"/>
      <c r="L529" s="163"/>
      <c r="N529" s="167"/>
      <c r="O529" s="168"/>
    </row>
    <row r="530">
      <c r="B530" s="90"/>
      <c r="C530" s="90"/>
      <c r="E530" s="166"/>
      <c r="J530" s="163"/>
      <c r="L530" s="163"/>
      <c r="N530" s="167"/>
      <c r="O530" s="168"/>
    </row>
    <row r="531">
      <c r="B531" s="90"/>
      <c r="C531" s="90"/>
      <c r="E531" s="166"/>
      <c r="J531" s="163"/>
      <c r="L531" s="163"/>
      <c r="N531" s="167"/>
      <c r="O531" s="168"/>
    </row>
    <row r="532">
      <c r="B532" s="90"/>
      <c r="C532" s="90"/>
      <c r="E532" s="166"/>
      <c r="J532" s="163"/>
      <c r="L532" s="163"/>
      <c r="N532" s="167"/>
      <c r="O532" s="168"/>
    </row>
    <row r="533">
      <c r="B533" s="90"/>
      <c r="C533" s="90"/>
      <c r="E533" s="166"/>
      <c r="J533" s="163"/>
      <c r="L533" s="163"/>
      <c r="N533" s="167"/>
      <c r="O533" s="168"/>
    </row>
    <row r="534">
      <c r="B534" s="90"/>
      <c r="C534" s="90"/>
      <c r="E534" s="166"/>
      <c r="J534" s="163"/>
      <c r="L534" s="163"/>
      <c r="N534" s="167"/>
      <c r="O534" s="168"/>
    </row>
    <row r="535">
      <c r="B535" s="90"/>
      <c r="C535" s="90"/>
      <c r="E535" s="166"/>
      <c r="J535" s="163"/>
      <c r="L535" s="163"/>
      <c r="N535" s="167"/>
      <c r="O535" s="168"/>
    </row>
    <row r="536">
      <c r="B536" s="90"/>
      <c r="C536" s="90"/>
      <c r="E536" s="166"/>
      <c r="J536" s="163"/>
      <c r="L536" s="163"/>
      <c r="N536" s="167"/>
      <c r="O536" s="168"/>
    </row>
    <row r="537">
      <c r="B537" s="90"/>
      <c r="C537" s="90"/>
      <c r="E537" s="166"/>
      <c r="J537" s="163"/>
      <c r="L537" s="163"/>
      <c r="N537" s="167"/>
      <c r="O537" s="168"/>
    </row>
    <row r="538">
      <c r="B538" s="90"/>
      <c r="C538" s="90"/>
      <c r="E538" s="166"/>
      <c r="J538" s="163"/>
      <c r="L538" s="163"/>
      <c r="N538" s="167"/>
      <c r="O538" s="168"/>
    </row>
    <row r="539">
      <c r="B539" s="90"/>
      <c r="C539" s="90"/>
      <c r="E539" s="166"/>
      <c r="J539" s="163"/>
      <c r="L539" s="163"/>
      <c r="N539" s="167"/>
      <c r="O539" s="168"/>
    </row>
    <row r="540">
      <c r="B540" s="90"/>
      <c r="C540" s="90"/>
      <c r="E540" s="166"/>
      <c r="J540" s="163"/>
      <c r="L540" s="163"/>
      <c r="N540" s="167"/>
      <c r="O540" s="168"/>
    </row>
    <row r="541">
      <c r="B541" s="90"/>
      <c r="C541" s="90"/>
      <c r="E541" s="166"/>
      <c r="J541" s="163"/>
      <c r="L541" s="163"/>
      <c r="N541" s="167"/>
      <c r="O541" s="168"/>
    </row>
    <row r="542">
      <c r="B542" s="90"/>
      <c r="C542" s="90"/>
      <c r="E542" s="166"/>
      <c r="J542" s="163"/>
      <c r="L542" s="163"/>
      <c r="N542" s="167"/>
      <c r="O542" s="168"/>
    </row>
    <row r="543">
      <c r="B543" s="90"/>
      <c r="C543" s="90"/>
      <c r="E543" s="166"/>
      <c r="J543" s="163"/>
      <c r="L543" s="163"/>
      <c r="N543" s="167"/>
      <c r="O543" s="168"/>
    </row>
    <row r="544">
      <c r="B544" s="90"/>
      <c r="C544" s="90"/>
      <c r="E544" s="166"/>
      <c r="J544" s="163"/>
      <c r="L544" s="163"/>
      <c r="N544" s="167"/>
      <c r="O544" s="168"/>
    </row>
    <row r="545">
      <c r="B545" s="90"/>
      <c r="C545" s="90"/>
      <c r="E545" s="166"/>
      <c r="J545" s="163"/>
      <c r="L545" s="163"/>
      <c r="N545" s="167"/>
      <c r="O545" s="168"/>
    </row>
    <row r="546">
      <c r="B546" s="90"/>
      <c r="C546" s="90"/>
      <c r="E546" s="166"/>
      <c r="J546" s="163"/>
      <c r="L546" s="163"/>
      <c r="N546" s="167"/>
      <c r="O546" s="168"/>
    </row>
    <row r="547">
      <c r="B547" s="90"/>
      <c r="C547" s="90"/>
      <c r="E547" s="166"/>
      <c r="J547" s="163"/>
      <c r="L547" s="163"/>
      <c r="N547" s="167"/>
      <c r="O547" s="168"/>
    </row>
    <row r="548">
      <c r="B548" s="90"/>
      <c r="C548" s="90"/>
      <c r="E548" s="166"/>
      <c r="J548" s="163"/>
      <c r="L548" s="163"/>
      <c r="N548" s="167"/>
      <c r="O548" s="168"/>
    </row>
    <row r="549">
      <c r="B549" s="90"/>
      <c r="C549" s="90"/>
      <c r="E549" s="166"/>
      <c r="J549" s="163"/>
      <c r="L549" s="163"/>
      <c r="N549" s="167"/>
      <c r="O549" s="168"/>
    </row>
    <row r="550">
      <c r="B550" s="90"/>
      <c r="C550" s="90"/>
      <c r="E550" s="166"/>
      <c r="J550" s="163"/>
      <c r="L550" s="163"/>
      <c r="N550" s="167"/>
      <c r="O550" s="168"/>
    </row>
    <row r="551">
      <c r="B551" s="90"/>
      <c r="C551" s="90"/>
      <c r="E551" s="166"/>
      <c r="J551" s="163"/>
      <c r="L551" s="163"/>
      <c r="N551" s="167"/>
      <c r="O551" s="168"/>
    </row>
    <row r="552">
      <c r="B552" s="90"/>
      <c r="C552" s="90"/>
      <c r="E552" s="166"/>
      <c r="J552" s="163"/>
      <c r="L552" s="163"/>
      <c r="N552" s="167"/>
      <c r="O552" s="168"/>
    </row>
    <row r="553">
      <c r="B553" s="90"/>
      <c r="C553" s="90"/>
      <c r="E553" s="166"/>
      <c r="J553" s="163"/>
      <c r="L553" s="163"/>
      <c r="N553" s="167"/>
      <c r="O553" s="168"/>
    </row>
    <row r="554">
      <c r="B554" s="90"/>
      <c r="C554" s="90"/>
      <c r="E554" s="166"/>
      <c r="J554" s="163"/>
      <c r="L554" s="163"/>
      <c r="N554" s="167"/>
      <c r="O554" s="168"/>
    </row>
    <row r="555">
      <c r="B555" s="90"/>
      <c r="C555" s="90"/>
      <c r="E555" s="166"/>
      <c r="J555" s="163"/>
      <c r="L555" s="163"/>
      <c r="N555" s="167"/>
      <c r="O555" s="168"/>
    </row>
    <row r="556">
      <c r="B556" s="90"/>
      <c r="C556" s="90"/>
      <c r="E556" s="166"/>
      <c r="J556" s="163"/>
      <c r="L556" s="163"/>
      <c r="N556" s="167"/>
      <c r="O556" s="168"/>
    </row>
    <row r="557">
      <c r="B557" s="90"/>
      <c r="C557" s="90"/>
      <c r="E557" s="166"/>
      <c r="J557" s="163"/>
      <c r="L557" s="163"/>
      <c r="N557" s="167"/>
      <c r="O557" s="168"/>
    </row>
    <row r="558">
      <c r="B558" s="90"/>
      <c r="C558" s="90"/>
      <c r="E558" s="166"/>
      <c r="J558" s="163"/>
      <c r="L558" s="163"/>
      <c r="N558" s="167"/>
      <c r="O558" s="168"/>
    </row>
    <row r="559">
      <c r="B559" s="90"/>
      <c r="C559" s="90"/>
      <c r="E559" s="166"/>
      <c r="J559" s="163"/>
      <c r="L559" s="163"/>
      <c r="N559" s="167"/>
      <c r="O559" s="168"/>
    </row>
    <row r="560">
      <c r="B560" s="90"/>
      <c r="C560" s="90"/>
      <c r="E560" s="166"/>
      <c r="J560" s="163"/>
      <c r="L560" s="163"/>
      <c r="N560" s="167"/>
      <c r="O560" s="168"/>
    </row>
    <row r="561">
      <c r="B561" s="90"/>
      <c r="C561" s="90"/>
      <c r="E561" s="166"/>
      <c r="J561" s="163"/>
      <c r="L561" s="163"/>
      <c r="N561" s="167"/>
      <c r="O561" s="168"/>
    </row>
    <row r="562">
      <c r="B562" s="90"/>
      <c r="C562" s="90"/>
      <c r="E562" s="166"/>
      <c r="J562" s="163"/>
      <c r="L562" s="163"/>
      <c r="N562" s="167"/>
      <c r="O562" s="168"/>
    </row>
    <row r="563">
      <c r="B563" s="90"/>
      <c r="C563" s="90"/>
      <c r="E563" s="166"/>
      <c r="J563" s="163"/>
      <c r="L563" s="163"/>
      <c r="N563" s="167"/>
      <c r="O563" s="168"/>
    </row>
    <row r="564">
      <c r="B564" s="90"/>
      <c r="C564" s="90"/>
      <c r="E564" s="166"/>
      <c r="J564" s="163"/>
      <c r="L564" s="163"/>
      <c r="N564" s="167"/>
      <c r="O564" s="168"/>
    </row>
    <row r="565">
      <c r="B565" s="90"/>
      <c r="C565" s="90"/>
      <c r="E565" s="166"/>
      <c r="J565" s="163"/>
      <c r="L565" s="163"/>
      <c r="N565" s="167"/>
      <c r="O565" s="168"/>
    </row>
    <row r="566">
      <c r="B566" s="90"/>
      <c r="C566" s="90"/>
      <c r="E566" s="166"/>
      <c r="J566" s="163"/>
      <c r="L566" s="163"/>
      <c r="N566" s="167"/>
      <c r="O566" s="168"/>
    </row>
    <row r="567">
      <c r="B567" s="90"/>
      <c r="C567" s="90"/>
      <c r="E567" s="166"/>
      <c r="J567" s="163"/>
      <c r="L567" s="163"/>
      <c r="N567" s="167"/>
      <c r="O567" s="168"/>
    </row>
    <row r="568">
      <c r="B568" s="90"/>
      <c r="C568" s="90"/>
      <c r="E568" s="166"/>
      <c r="J568" s="163"/>
      <c r="L568" s="163"/>
      <c r="N568" s="167"/>
      <c r="O568" s="168"/>
    </row>
    <row r="569">
      <c r="B569" s="90"/>
      <c r="C569" s="90"/>
      <c r="E569" s="166"/>
      <c r="J569" s="163"/>
      <c r="L569" s="163"/>
      <c r="N569" s="167"/>
      <c r="O569" s="168"/>
    </row>
    <row r="570">
      <c r="B570" s="90"/>
      <c r="C570" s="90"/>
      <c r="E570" s="166"/>
      <c r="J570" s="163"/>
      <c r="L570" s="163"/>
      <c r="N570" s="167"/>
      <c r="O570" s="168"/>
    </row>
    <row r="571">
      <c r="B571" s="90"/>
      <c r="C571" s="90"/>
      <c r="E571" s="166"/>
      <c r="J571" s="163"/>
      <c r="L571" s="163"/>
      <c r="N571" s="167"/>
      <c r="O571" s="168"/>
    </row>
    <row r="572">
      <c r="B572" s="90"/>
      <c r="C572" s="90"/>
      <c r="E572" s="166"/>
      <c r="J572" s="163"/>
      <c r="L572" s="163"/>
      <c r="N572" s="167"/>
      <c r="O572" s="168"/>
    </row>
    <row r="573">
      <c r="B573" s="90"/>
      <c r="C573" s="90"/>
      <c r="E573" s="166"/>
      <c r="J573" s="163"/>
      <c r="L573" s="163"/>
      <c r="N573" s="167"/>
      <c r="O573" s="168"/>
    </row>
    <row r="574">
      <c r="B574" s="90"/>
      <c r="C574" s="90"/>
      <c r="E574" s="166"/>
      <c r="J574" s="163"/>
      <c r="L574" s="163"/>
      <c r="N574" s="167"/>
      <c r="O574" s="168"/>
    </row>
    <row r="575">
      <c r="B575" s="90"/>
      <c r="C575" s="90"/>
      <c r="E575" s="166"/>
      <c r="J575" s="163"/>
      <c r="L575" s="163"/>
      <c r="N575" s="167"/>
      <c r="O575" s="168"/>
    </row>
    <row r="576">
      <c r="B576" s="90"/>
      <c r="C576" s="90"/>
      <c r="E576" s="166"/>
      <c r="J576" s="163"/>
      <c r="L576" s="163"/>
      <c r="N576" s="167"/>
      <c r="O576" s="168"/>
    </row>
    <row r="577">
      <c r="B577" s="90"/>
      <c r="C577" s="90"/>
      <c r="E577" s="166"/>
      <c r="J577" s="163"/>
      <c r="L577" s="163"/>
      <c r="N577" s="167"/>
      <c r="O577" s="168"/>
    </row>
    <row r="578">
      <c r="B578" s="90"/>
      <c r="C578" s="90"/>
      <c r="E578" s="166"/>
      <c r="J578" s="163"/>
      <c r="L578" s="163"/>
      <c r="N578" s="167"/>
      <c r="O578" s="168"/>
    </row>
    <row r="579">
      <c r="B579" s="90"/>
      <c r="C579" s="90"/>
      <c r="E579" s="166"/>
      <c r="J579" s="163"/>
      <c r="L579" s="163"/>
      <c r="N579" s="167"/>
      <c r="O579" s="168"/>
    </row>
    <row r="580">
      <c r="B580" s="90"/>
      <c r="C580" s="90"/>
      <c r="E580" s="166"/>
      <c r="J580" s="163"/>
      <c r="L580" s="163"/>
      <c r="N580" s="167"/>
      <c r="O580" s="168"/>
    </row>
    <row r="581">
      <c r="B581" s="90"/>
      <c r="C581" s="90"/>
      <c r="E581" s="166"/>
      <c r="J581" s="163"/>
      <c r="L581" s="163"/>
      <c r="N581" s="167"/>
      <c r="O581" s="168"/>
    </row>
    <row r="582">
      <c r="B582" s="90"/>
      <c r="C582" s="90"/>
      <c r="E582" s="166"/>
      <c r="J582" s="163"/>
      <c r="L582" s="163"/>
      <c r="N582" s="167"/>
      <c r="O582" s="168"/>
    </row>
    <row r="583">
      <c r="B583" s="90"/>
      <c r="C583" s="90"/>
      <c r="E583" s="166"/>
      <c r="J583" s="163"/>
      <c r="L583" s="163"/>
      <c r="N583" s="167"/>
      <c r="O583" s="168"/>
    </row>
    <row r="584">
      <c r="B584" s="90"/>
      <c r="C584" s="90"/>
      <c r="E584" s="166"/>
      <c r="J584" s="163"/>
      <c r="L584" s="163"/>
      <c r="N584" s="167"/>
      <c r="O584" s="168"/>
    </row>
    <row r="585">
      <c r="B585" s="90"/>
      <c r="C585" s="90"/>
      <c r="E585" s="166"/>
      <c r="J585" s="163"/>
      <c r="L585" s="163"/>
      <c r="N585" s="167"/>
      <c r="O585" s="168"/>
    </row>
    <row r="586">
      <c r="B586" s="90"/>
      <c r="C586" s="90"/>
      <c r="E586" s="166"/>
      <c r="J586" s="163"/>
      <c r="L586" s="163"/>
      <c r="N586" s="167"/>
      <c r="O586" s="168"/>
    </row>
    <row r="587">
      <c r="B587" s="90"/>
      <c r="C587" s="90"/>
      <c r="E587" s="166"/>
      <c r="J587" s="163"/>
      <c r="L587" s="163"/>
      <c r="N587" s="167"/>
      <c r="O587" s="168"/>
    </row>
    <row r="588">
      <c r="B588" s="90"/>
      <c r="C588" s="90"/>
      <c r="E588" s="166"/>
      <c r="J588" s="163"/>
      <c r="L588" s="163"/>
      <c r="N588" s="167"/>
      <c r="O588" s="168"/>
    </row>
    <row r="589">
      <c r="B589" s="90"/>
      <c r="C589" s="90"/>
      <c r="E589" s="166"/>
      <c r="J589" s="163"/>
      <c r="L589" s="163"/>
      <c r="N589" s="167"/>
      <c r="O589" s="168"/>
    </row>
    <row r="590">
      <c r="B590" s="90"/>
      <c r="C590" s="90"/>
      <c r="E590" s="166"/>
      <c r="J590" s="163"/>
      <c r="L590" s="163"/>
      <c r="N590" s="167"/>
      <c r="O590" s="168"/>
    </row>
    <row r="591">
      <c r="B591" s="90"/>
      <c r="C591" s="90"/>
      <c r="E591" s="166"/>
      <c r="J591" s="163"/>
      <c r="L591" s="163"/>
      <c r="N591" s="167"/>
      <c r="O591" s="168"/>
    </row>
    <row r="592">
      <c r="B592" s="90"/>
      <c r="C592" s="90"/>
      <c r="E592" s="166"/>
      <c r="J592" s="163"/>
      <c r="L592" s="163"/>
      <c r="N592" s="167"/>
      <c r="O592" s="168"/>
    </row>
    <row r="593">
      <c r="B593" s="90"/>
      <c r="C593" s="90"/>
      <c r="E593" s="166"/>
      <c r="J593" s="163"/>
      <c r="L593" s="163"/>
      <c r="N593" s="167"/>
      <c r="O593" s="168"/>
    </row>
    <row r="594">
      <c r="B594" s="90"/>
      <c r="C594" s="90"/>
      <c r="E594" s="166"/>
      <c r="J594" s="163"/>
      <c r="L594" s="163"/>
      <c r="N594" s="167"/>
      <c r="O594" s="168"/>
    </row>
    <row r="595">
      <c r="B595" s="90"/>
      <c r="C595" s="90"/>
      <c r="E595" s="166"/>
      <c r="J595" s="163"/>
      <c r="L595" s="163"/>
      <c r="N595" s="167"/>
      <c r="O595" s="168"/>
    </row>
    <row r="596">
      <c r="B596" s="90"/>
      <c r="C596" s="90"/>
      <c r="E596" s="166"/>
      <c r="J596" s="163"/>
      <c r="L596" s="163"/>
      <c r="N596" s="167"/>
      <c r="O596" s="168"/>
    </row>
    <row r="597">
      <c r="B597" s="90"/>
      <c r="C597" s="90"/>
      <c r="E597" s="166"/>
      <c r="J597" s="163"/>
      <c r="L597" s="163"/>
      <c r="N597" s="167"/>
      <c r="O597" s="168"/>
    </row>
    <row r="598">
      <c r="B598" s="90"/>
      <c r="C598" s="90"/>
      <c r="E598" s="166"/>
      <c r="J598" s="163"/>
      <c r="L598" s="163"/>
      <c r="N598" s="167"/>
      <c r="O598" s="168"/>
    </row>
    <row r="599">
      <c r="B599" s="90"/>
      <c r="C599" s="90"/>
      <c r="E599" s="166"/>
      <c r="J599" s="163"/>
      <c r="L599" s="163"/>
      <c r="N599" s="167"/>
      <c r="O599" s="168"/>
    </row>
    <row r="600">
      <c r="B600" s="90"/>
      <c r="C600" s="90"/>
      <c r="E600" s="166"/>
      <c r="J600" s="163"/>
      <c r="L600" s="163"/>
      <c r="N600" s="167"/>
      <c r="O600" s="168"/>
    </row>
    <row r="601">
      <c r="B601" s="90"/>
      <c r="C601" s="90"/>
      <c r="E601" s="166"/>
      <c r="J601" s="163"/>
      <c r="L601" s="163"/>
      <c r="N601" s="167"/>
      <c r="O601" s="168"/>
    </row>
    <row r="602">
      <c r="B602" s="90"/>
      <c r="C602" s="90"/>
      <c r="E602" s="166"/>
      <c r="J602" s="163"/>
      <c r="L602" s="163"/>
      <c r="N602" s="167"/>
      <c r="O602" s="168"/>
    </row>
    <row r="603">
      <c r="B603" s="90"/>
      <c r="C603" s="90"/>
      <c r="E603" s="166"/>
      <c r="J603" s="163"/>
      <c r="L603" s="163"/>
      <c r="N603" s="167"/>
      <c r="O603" s="168"/>
    </row>
    <row r="604">
      <c r="B604" s="90"/>
      <c r="C604" s="90"/>
      <c r="E604" s="166"/>
      <c r="J604" s="163"/>
      <c r="L604" s="163"/>
      <c r="N604" s="167"/>
      <c r="O604" s="168"/>
    </row>
    <row r="605">
      <c r="B605" s="90"/>
      <c r="C605" s="90"/>
      <c r="E605" s="166"/>
      <c r="J605" s="163"/>
      <c r="L605" s="163"/>
      <c r="N605" s="167"/>
      <c r="O605" s="168"/>
    </row>
    <row r="606">
      <c r="B606" s="90"/>
      <c r="C606" s="90"/>
      <c r="E606" s="166"/>
      <c r="J606" s="163"/>
      <c r="L606" s="163"/>
      <c r="N606" s="167"/>
      <c r="O606" s="168"/>
    </row>
    <row r="607">
      <c r="B607" s="90"/>
      <c r="C607" s="90"/>
      <c r="E607" s="166"/>
      <c r="J607" s="163"/>
      <c r="L607" s="163"/>
      <c r="N607" s="167"/>
      <c r="O607" s="168"/>
    </row>
    <row r="608">
      <c r="B608" s="90"/>
      <c r="C608" s="90"/>
      <c r="E608" s="166"/>
      <c r="J608" s="163"/>
      <c r="L608" s="163"/>
      <c r="N608" s="167"/>
      <c r="O608" s="168"/>
    </row>
    <row r="609">
      <c r="B609" s="90"/>
      <c r="C609" s="90"/>
      <c r="E609" s="166"/>
      <c r="J609" s="163"/>
      <c r="L609" s="163"/>
      <c r="N609" s="167"/>
      <c r="O609" s="168"/>
    </row>
    <row r="610">
      <c r="B610" s="90"/>
      <c r="C610" s="90"/>
      <c r="E610" s="166"/>
      <c r="J610" s="163"/>
      <c r="L610" s="163"/>
      <c r="N610" s="167"/>
      <c r="O610" s="168"/>
    </row>
    <row r="611">
      <c r="B611" s="90"/>
      <c r="C611" s="90"/>
      <c r="E611" s="166"/>
      <c r="J611" s="163"/>
      <c r="L611" s="163"/>
      <c r="N611" s="167"/>
      <c r="O611" s="168"/>
    </row>
    <row r="612">
      <c r="B612" s="90"/>
      <c r="C612" s="90"/>
      <c r="E612" s="166"/>
      <c r="J612" s="163"/>
      <c r="L612" s="163"/>
      <c r="N612" s="167"/>
      <c r="O612" s="168"/>
    </row>
    <row r="613">
      <c r="B613" s="90"/>
      <c r="C613" s="90"/>
      <c r="E613" s="166"/>
      <c r="J613" s="163"/>
      <c r="L613" s="163"/>
      <c r="N613" s="167"/>
      <c r="O613" s="168"/>
    </row>
    <row r="614">
      <c r="B614" s="90"/>
      <c r="C614" s="90"/>
      <c r="E614" s="166"/>
      <c r="J614" s="163"/>
      <c r="L614" s="163"/>
      <c r="N614" s="167"/>
      <c r="O614" s="168"/>
    </row>
    <row r="615">
      <c r="B615" s="90"/>
      <c r="C615" s="90"/>
      <c r="E615" s="166"/>
      <c r="J615" s="163"/>
      <c r="L615" s="163"/>
      <c r="N615" s="167"/>
      <c r="O615" s="168"/>
    </row>
    <row r="616">
      <c r="B616" s="90"/>
      <c r="C616" s="90"/>
      <c r="E616" s="166"/>
      <c r="J616" s="163"/>
      <c r="L616" s="163"/>
      <c r="N616" s="167"/>
      <c r="O616" s="168"/>
    </row>
    <row r="617">
      <c r="B617" s="90"/>
      <c r="C617" s="90"/>
      <c r="E617" s="166"/>
      <c r="J617" s="163"/>
      <c r="L617" s="163"/>
      <c r="N617" s="167"/>
      <c r="O617" s="168"/>
    </row>
    <row r="618">
      <c r="B618" s="90"/>
      <c r="C618" s="90"/>
      <c r="E618" s="166"/>
      <c r="J618" s="163"/>
      <c r="L618" s="163"/>
      <c r="N618" s="167"/>
      <c r="O618" s="168"/>
    </row>
    <row r="619">
      <c r="B619" s="90"/>
      <c r="C619" s="90"/>
      <c r="E619" s="166"/>
      <c r="J619" s="163"/>
      <c r="L619" s="163"/>
      <c r="N619" s="167"/>
      <c r="O619" s="168"/>
    </row>
    <row r="620">
      <c r="B620" s="90"/>
      <c r="C620" s="90"/>
      <c r="E620" s="166"/>
      <c r="J620" s="163"/>
      <c r="L620" s="163"/>
      <c r="N620" s="167"/>
      <c r="O620" s="168"/>
    </row>
    <row r="621">
      <c r="B621" s="90"/>
      <c r="C621" s="90"/>
      <c r="E621" s="166"/>
      <c r="J621" s="163"/>
      <c r="L621" s="163"/>
      <c r="N621" s="167"/>
      <c r="O621" s="168"/>
    </row>
    <row r="622">
      <c r="B622" s="90"/>
      <c r="C622" s="90"/>
      <c r="E622" s="166"/>
      <c r="J622" s="163"/>
      <c r="L622" s="163"/>
      <c r="N622" s="167"/>
      <c r="O622" s="168"/>
    </row>
    <row r="623">
      <c r="B623" s="90"/>
      <c r="C623" s="90"/>
      <c r="E623" s="166"/>
      <c r="J623" s="163"/>
      <c r="L623" s="163"/>
      <c r="N623" s="167"/>
      <c r="O623" s="168"/>
    </row>
    <row r="624">
      <c r="B624" s="90"/>
      <c r="C624" s="90"/>
      <c r="E624" s="166"/>
      <c r="J624" s="163"/>
      <c r="L624" s="163"/>
      <c r="N624" s="167"/>
      <c r="O624" s="168"/>
    </row>
    <row r="625">
      <c r="B625" s="90"/>
      <c r="C625" s="90"/>
      <c r="E625" s="166"/>
      <c r="J625" s="163"/>
      <c r="L625" s="163"/>
      <c r="N625" s="167"/>
      <c r="O625" s="168"/>
    </row>
    <row r="626">
      <c r="B626" s="90"/>
      <c r="C626" s="90"/>
      <c r="E626" s="166"/>
      <c r="J626" s="163"/>
      <c r="L626" s="163"/>
      <c r="N626" s="167"/>
      <c r="O626" s="168"/>
    </row>
    <row r="627">
      <c r="B627" s="90"/>
      <c r="C627" s="90"/>
      <c r="E627" s="166"/>
      <c r="J627" s="163"/>
      <c r="L627" s="163"/>
      <c r="N627" s="167"/>
      <c r="O627" s="168"/>
    </row>
    <row r="628">
      <c r="B628" s="90"/>
      <c r="C628" s="90"/>
      <c r="E628" s="166"/>
      <c r="J628" s="163"/>
      <c r="L628" s="163"/>
      <c r="N628" s="167"/>
      <c r="O628" s="168"/>
    </row>
    <row r="629">
      <c r="B629" s="90"/>
      <c r="C629" s="90"/>
      <c r="E629" s="166"/>
      <c r="J629" s="163"/>
      <c r="L629" s="163"/>
      <c r="N629" s="167"/>
      <c r="O629" s="168"/>
    </row>
    <row r="630">
      <c r="B630" s="90"/>
      <c r="C630" s="90"/>
      <c r="E630" s="166"/>
      <c r="J630" s="163"/>
      <c r="L630" s="163"/>
      <c r="N630" s="167"/>
      <c r="O630" s="168"/>
    </row>
    <row r="631">
      <c r="B631" s="90"/>
      <c r="C631" s="90"/>
      <c r="E631" s="166"/>
      <c r="J631" s="163"/>
      <c r="L631" s="163"/>
      <c r="N631" s="167"/>
      <c r="O631" s="168"/>
    </row>
    <row r="632">
      <c r="B632" s="90"/>
      <c r="C632" s="90"/>
      <c r="E632" s="166"/>
      <c r="J632" s="163"/>
      <c r="L632" s="163"/>
      <c r="N632" s="167"/>
      <c r="O632" s="168"/>
    </row>
    <row r="633">
      <c r="B633" s="90"/>
      <c r="C633" s="90"/>
      <c r="E633" s="166"/>
      <c r="J633" s="163"/>
      <c r="L633" s="163"/>
      <c r="N633" s="167"/>
      <c r="O633" s="168"/>
    </row>
    <row r="634">
      <c r="B634" s="90"/>
      <c r="C634" s="90"/>
      <c r="E634" s="166"/>
      <c r="J634" s="163"/>
      <c r="L634" s="163"/>
      <c r="N634" s="167"/>
      <c r="O634" s="168"/>
    </row>
    <row r="635">
      <c r="B635" s="90"/>
      <c r="C635" s="90"/>
      <c r="E635" s="166"/>
      <c r="J635" s="163"/>
      <c r="L635" s="163"/>
      <c r="N635" s="167"/>
      <c r="O635" s="168"/>
    </row>
    <row r="636">
      <c r="B636" s="90"/>
      <c r="C636" s="90"/>
      <c r="E636" s="166"/>
      <c r="J636" s="163"/>
      <c r="L636" s="163"/>
      <c r="N636" s="167"/>
      <c r="O636" s="168"/>
    </row>
    <row r="637">
      <c r="B637" s="90"/>
      <c r="C637" s="90"/>
      <c r="E637" s="166"/>
      <c r="J637" s="163"/>
      <c r="L637" s="163"/>
      <c r="N637" s="167"/>
      <c r="O637" s="168"/>
    </row>
    <row r="638">
      <c r="B638" s="90"/>
      <c r="C638" s="90"/>
      <c r="E638" s="166"/>
      <c r="J638" s="163"/>
      <c r="L638" s="163"/>
      <c r="N638" s="167"/>
      <c r="O638" s="168"/>
    </row>
    <row r="639">
      <c r="B639" s="90"/>
      <c r="C639" s="90"/>
      <c r="E639" s="166"/>
      <c r="J639" s="163"/>
      <c r="L639" s="163"/>
      <c r="N639" s="167"/>
      <c r="O639" s="168"/>
    </row>
    <row r="640">
      <c r="B640" s="90"/>
      <c r="C640" s="90"/>
      <c r="E640" s="166"/>
      <c r="J640" s="163"/>
      <c r="L640" s="163"/>
      <c r="N640" s="167"/>
      <c r="O640" s="168"/>
    </row>
    <row r="641">
      <c r="B641" s="90"/>
      <c r="C641" s="90"/>
      <c r="E641" s="166"/>
      <c r="J641" s="163"/>
      <c r="L641" s="163"/>
      <c r="N641" s="167"/>
      <c r="O641" s="168"/>
    </row>
    <row r="642">
      <c r="B642" s="90"/>
      <c r="C642" s="90"/>
      <c r="E642" s="166"/>
      <c r="J642" s="163"/>
      <c r="L642" s="163"/>
      <c r="N642" s="167"/>
      <c r="O642" s="168"/>
    </row>
    <row r="643">
      <c r="B643" s="90"/>
      <c r="C643" s="90"/>
      <c r="E643" s="166"/>
      <c r="J643" s="163"/>
      <c r="L643" s="163"/>
      <c r="N643" s="167"/>
      <c r="O643" s="168"/>
    </row>
    <row r="644">
      <c r="B644" s="90"/>
      <c r="C644" s="90"/>
      <c r="E644" s="166"/>
      <c r="J644" s="163"/>
      <c r="L644" s="163"/>
      <c r="N644" s="167"/>
      <c r="O644" s="168"/>
    </row>
    <row r="645">
      <c r="B645" s="90"/>
      <c r="C645" s="90"/>
      <c r="E645" s="166"/>
      <c r="J645" s="163"/>
      <c r="L645" s="163"/>
      <c r="N645" s="167"/>
      <c r="O645" s="168"/>
    </row>
    <row r="646">
      <c r="B646" s="90"/>
      <c r="C646" s="90"/>
      <c r="E646" s="166"/>
      <c r="J646" s="163"/>
      <c r="L646" s="163"/>
      <c r="N646" s="167"/>
      <c r="O646" s="168"/>
    </row>
    <row r="647">
      <c r="B647" s="90"/>
      <c r="C647" s="90"/>
      <c r="E647" s="166"/>
      <c r="J647" s="163"/>
      <c r="L647" s="163"/>
      <c r="N647" s="167"/>
      <c r="O647" s="168"/>
    </row>
    <row r="648">
      <c r="B648" s="90"/>
      <c r="C648" s="90"/>
      <c r="E648" s="166"/>
      <c r="J648" s="163"/>
      <c r="L648" s="163"/>
      <c r="N648" s="167"/>
      <c r="O648" s="168"/>
    </row>
    <row r="649">
      <c r="B649" s="90"/>
      <c r="C649" s="90"/>
      <c r="E649" s="166"/>
      <c r="J649" s="163"/>
      <c r="L649" s="163"/>
      <c r="N649" s="167"/>
      <c r="O649" s="168"/>
    </row>
    <row r="650">
      <c r="B650" s="90"/>
      <c r="C650" s="90"/>
      <c r="E650" s="166"/>
      <c r="J650" s="163"/>
      <c r="L650" s="163"/>
      <c r="N650" s="167"/>
      <c r="O650" s="168"/>
    </row>
    <row r="651">
      <c r="B651" s="90"/>
      <c r="C651" s="90"/>
      <c r="E651" s="166"/>
      <c r="J651" s="163"/>
      <c r="L651" s="163"/>
      <c r="N651" s="167"/>
      <c r="O651" s="168"/>
    </row>
    <row r="652">
      <c r="B652" s="90"/>
      <c r="C652" s="90"/>
      <c r="E652" s="166"/>
      <c r="J652" s="163"/>
      <c r="L652" s="163"/>
      <c r="N652" s="167"/>
      <c r="O652" s="168"/>
    </row>
    <row r="653">
      <c r="B653" s="90"/>
      <c r="C653" s="90"/>
      <c r="E653" s="166"/>
      <c r="J653" s="163"/>
      <c r="L653" s="163"/>
      <c r="N653" s="167"/>
      <c r="O653" s="168"/>
    </row>
    <row r="654">
      <c r="B654" s="90"/>
      <c r="C654" s="90"/>
      <c r="E654" s="166"/>
      <c r="J654" s="163"/>
      <c r="L654" s="163"/>
      <c r="N654" s="167"/>
      <c r="O654" s="168"/>
    </row>
    <row r="655">
      <c r="B655" s="90"/>
      <c r="C655" s="90"/>
      <c r="E655" s="166"/>
      <c r="J655" s="163"/>
      <c r="L655" s="163"/>
      <c r="N655" s="167"/>
      <c r="O655" s="168"/>
    </row>
    <row r="656">
      <c r="B656" s="90"/>
      <c r="C656" s="90"/>
      <c r="E656" s="166"/>
      <c r="J656" s="163"/>
      <c r="L656" s="163"/>
      <c r="N656" s="167"/>
      <c r="O656" s="168"/>
    </row>
    <row r="657">
      <c r="B657" s="90"/>
      <c r="C657" s="90"/>
      <c r="E657" s="166"/>
      <c r="J657" s="163"/>
      <c r="L657" s="163"/>
      <c r="N657" s="167"/>
      <c r="O657" s="168"/>
    </row>
    <row r="658">
      <c r="B658" s="90"/>
      <c r="C658" s="90"/>
      <c r="E658" s="166"/>
      <c r="J658" s="163"/>
      <c r="L658" s="163"/>
      <c r="N658" s="167"/>
      <c r="O658" s="168"/>
    </row>
    <row r="659">
      <c r="B659" s="90"/>
      <c r="C659" s="90"/>
      <c r="E659" s="166"/>
      <c r="J659" s="163"/>
      <c r="L659" s="163"/>
      <c r="N659" s="167"/>
      <c r="O659" s="168"/>
    </row>
    <row r="660">
      <c r="B660" s="90"/>
      <c r="C660" s="90"/>
      <c r="E660" s="166"/>
      <c r="J660" s="163"/>
      <c r="L660" s="163"/>
      <c r="N660" s="167"/>
      <c r="O660" s="168"/>
    </row>
    <row r="661">
      <c r="B661" s="90"/>
      <c r="C661" s="90"/>
      <c r="E661" s="166"/>
      <c r="J661" s="163"/>
      <c r="L661" s="163"/>
      <c r="N661" s="167"/>
      <c r="O661" s="168"/>
    </row>
    <row r="662">
      <c r="B662" s="90"/>
      <c r="C662" s="90"/>
      <c r="E662" s="166"/>
      <c r="J662" s="163"/>
      <c r="L662" s="163"/>
      <c r="N662" s="167"/>
      <c r="O662" s="168"/>
    </row>
    <row r="663">
      <c r="B663" s="90"/>
      <c r="C663" s="90"/>
      <c r="E663" s="166"/>
      <c r="J663" s="163"/>
      <c r="L663" s="163"/>
      <c r="N663" s="167"/>
      <c r="O663" s="168"/>
    </row>
    <row r="664">
      <c r="B664" s="90"/>
      <c r="C664" s="90"/>
      <c r="E664" s="166"/>
      <c r="J664" s="163"/>
      <c r="L664" s="163"/>
      <c r="N664" s="167"/>
      <c r="O664" s="168"/>
    </row>
    <row r="665">
      <c r="B665" s="90"/>
      <c r="C665" s="90"/>
      <c r="E665" s="166"/>
      <c r="J665" s="163"/>
      <c r="L665" s="163"/>
      <c r="N665" s="167"/>
      <c r="O665" s="168"/>
    </row>
    <row r="666">
      <c r="B666" s="90"/>
      <c r="C666" s="90"/>
      <c r="E666" s="166"/>
      <c r="J666" s="163"/>
      <c r="L666" s="163"/>
      <c r="N666" s="167"/>
      <c r="O666" s="168"/>
    </row>
    <row r="667">
      <c r="B667" s="90"/>
      <c r="C667" s="90"/>
      <c r="E667" s="166"/>
      <c r="J667" s="163"/>
      <c r="L667" s="163"/>
      <c r="N667" s="167"/>
      <c r="O667" s="168"/>
    </row>
    <row r="668">
      <c r="B668" s="90"/>
      <c r="C668" s="90"/>
      <c r="E668" s="166"/>
      <c r="J668" s="163"/>
      <c r="L668" s="163"/>
      <c r="N668" s="167"/>
      <c r="O668" s="168"/>
    </row>
    <row r="669">
      <c r="B669" s="90"/>
      <c r="C669" s="90"/>
      <c r="E669" s="166"/>
      <c r="J669" s="163"/>
      <c r="L669" s="163"/>
      <c r="N669" s="167"/>
      <c r="O669" s="168"/>
    </row>
    <row r="670">
      <c r="B670" s="90"/>
      <c r="C670" s="90"/>
      <c r="E670" s="166"/>
      <c r="J670" s="163"/>
      <c r="L670" s="163"/>
      <c r="N670" s="167"/>
      <c r="O670" s="168"/>
    </row>
    <row r="671">
      <c r="B671" s="90"/>
      <c r="C671" s="90"/>
      <c r="E671" s="166"/>
      <c r="J671" s="163"/>
      <c r="L671" s="163"/>
      <c r="N671" s="167"/>
      <c r="O671" s="168"/>
    </row>
    <row r="672">
      <c r="B672" s="90"/>
      <c r="C672" s="90"/>
      <c r="E672" s="166"/>
      <c r="J672" s="163"/>
      <c r="L672" s="163"/>
      <c r="N672" s="167"/>
      <c r="O672" s="168"/>
    </row>
    <row r="673">
      <c r="B673" s="90"/>
      <c r="C673" s="90"/>
      <c r="E673" s="166"/>
      <c r="J673" s="163"/>
      <c r="L673" s="163"/>
      <c r="N673" s="167"/>
      <c r="O673" s="168"/>
    </row>
    <row r="674">
      <c r="B674" s="90"/>
      <c r="C674" s="90"/>
      <c r="E674" s="166"/>
      <c r="J674" s="163"/>
      <c r="L674" s="163"/>
      <c r="N674" s="167"/>
      <c r="O674" s="168"/>
    </row>
    <row r="675">
      <c r="B675" s="90"/>
      <c r="C675" s="90"/>
      <c r="E675" s="166"/>
      <c r="J675" s="163"/>
      <c r="L675" s="163"/>
      <c r="N675" s="167"/>
      <c r="O675" s="168"/>
    </row>
    <row r="676">
      <c r="B676" s="90"/>
      <c r="C676" s="90"/>
      <c r="E676" s="166"/>
      <c r="J676" s="163"/>
      <c r="L676" s="163"/>
      <c r="N676" s="167"/>
      <c r="O676" s="168"/>
    </row>
    <row r="677">
      <c r="B677" s="90"/>
      <c r="C677" s="90"/>
      <c r="E677" s="166"/>
      <c r="J677" s="163"/>
      <c r="L677" s="163"/>
      <c r="N677" s="167"/>
      <c r="O677" s="168"/>
    </row>
    <row r="678">
      <c r="B678" s="90"/>
      <c r="C678" s="90"/>
      <c r="E678" s="166"/>
      <c r="J678" s="163"/>
      <c r="L678" s="163"/>
      <c r="N678" s="167"/>
      <c r="O678" s="168"/>
    </row>
    <row r="679">
      <c r="B679" s="90"/>
      <c r="C679" s="90"/>
      <c r="E679" s="166"/>
      <c r="J679" s="163"/>
      <c r="L679" s="163"/>
      <c r="N679" s="167"/>
      <c r="O679" s="168"/>
    </row>
    <row r="680">
      <c r="B680" s="90"/>
      <c r="C680" s="90"/>
      <c r="E680" s="166"/>
      <c r="J680" s="163"/>
      <c r="L680" s="163"/>
      <c r="N680" s="167"/>
      <c r="O680" s="168"/>
    </row>
    <row r="681">
      <c r="B681" s="90"/>
      <c r="C681" s="90"/>
      <c r="E681" s="166"/>
      <c r="J681" s="163"/>
      <c r="L681" s="163"/>
      <c r="N681" s="167"/>
      <c r="O681" s="168"/>
    </row>
    <row r="682">
      <c r="B682" s="90"/>
      <c r="C682" s="90"/>
      <c r="E682" s="166"/>
      <c r="J682" s="163"/>
      <c r="L682" s="163"/>
      <c r="N682" s="167"/>
      <c r="O682" s="168"/>
    </row>
    <row r="683">
      <c r="B683" s="90"/>
      <c r="C683" s="90"/>
      <c r="E683" s="166"/>
      <c r="J683" s="163"/>
      <c r="L683" s="163"/>
      <c r="N683" s="167"/>
      <c r="O683" s="168"/>
    </row>
    <row r="684">
      <c r="B684" s="90"/>
      <c r="C684" s="90"/>
      <c r="E684" s="166"/>
      <c r="J684" s="163"/>
      <c r="L684" s="163"/>
      <c r="N684" s="167"/>
      <c r="O684" s="168"/>
    </row>
    <row r="685">
      <c r="B685" s="90"/>
      <c r="C685" s="90"/>
      <c r="E685" s="166"/>
      <c r="J685" s="163"/>
      <c r="L685" s="163"/>
      <c r="N685" s="167"/>
      <c r="O685" s="168"/>
    </row>
    <row r="686">
      <c r="B686" s="90"/>
      <c r="C686" s="90"/>
      <c r="E686" s="166"/>
      <c r="J686" s="163"/>
      <c r="L686" s="163"/>
      <c r="N686" s="167"/>
      <c r="O686" s="168"/>
    </row>
    <row r="687">
      <c r="B687" s="90"/>
      <c r="C687" s="90"/>
      <c r="E687" s="166"/>
      <c r="J687" s="163"/>
      <c r="L687" s="163"/>
      <c r="N687" s="167"/>
      <c r="O687" s="168"/>
    </row>
    <row r="688">
      <c r="B688" s="90"/>
      <c r="C688" s="90"/>
      <c r="E688" s="166"/>
      <c r="J688" s="163"/>
      <c r="L688" s="163"/>
      <c r="N688" s="167"/>
      <c r="O688" s="168"/>
    </row>
    <row r="689">
      <c r="B689" s="90"/>
      <c r="C689" s="90"/>
      <c r="E689" s="166"/>
      <c r="J689" s="163"/>
      <c r="L689" s="163"/>
      <c r="N689" s="167"/>
      <c r="O689" s="168"/>
    </row>
    <row r="690">
      <c r="B690" s="90"/>
      <c r="C690" s="90"/>
      <c r="E690" s="166"/>
      <c r="J690" s="163"/>
      <c r="L690" s="163"/>
      <c r="N690" s="167"/>
      <c r="O690" s="168"/>
    </row>
    <row r="691">
      <c r="B691" s="90"/>
      <c r="C691" s="90"/>
      <c r="E691" s="166"/>
      <c r="J691" s="163"/>
      <c r="L691" s="163"/>
      <c r="N691" s="167"/>
      <c r="O691" s="168"/>
    </row>
    <row r="692">
      <c r="B692" s="90"/>
      <c r="C692" s="90"/>
      <c r="E692" s="166"/>
      <c r="J692" s="163"/>
      <c r="L692" s="163"/>
      <c r="N692" s="167"/>
      <c r="O692" s="168"/>
    </row>
    <row r="693">
      <c r="B693" s="90"/>
      <c r="C693" s="90"/>
      <c r="E693" s="166"/>
      <c r="J693" s="163"/>
      <c r="L693" s="163"/>
      <c r="N693" s="167"/>
      <c r="O693" s="168"/>
    </row>
    <row r="694">
      <c r="B694" s="90"/>
      <c r="C694" s="90"/>
      <c r="E694" s="166"/>
      <c r="J694" s="163"/>
      <c r="L694" s="163"/>
      <c r="N694" s="167"/>
      <c r="O694" s="168"/>
    </row>
    <row r="695">
      <c r="B695" s="90"/>
      <c r="C695" s="90"/>
      <c r="E695" s="166"/>
      <c r="J695" s="163"/>
      <c r="L695" s="163"/>
      <c r="N695" s="167"/>
      <c r="O695" s="168"/>
    </row>
    <row r="696">
      <c r="B696" s="90"/>
      <c r="C696" s="90"/>
      <c r="E696" s="166"/>
      <c r="J696" s="163"/>
      <c r="L696" s="163"/>
      <c r="N696" s="167"/>
      <c r="O696" s="168"/>
    </row>
    <row r="697">
      <c r="B697" s="90"/>
      <c r="C697" s="90"/>
      <c r="E697" s="166"/>
      <c r="J697" s="163"/>
      <c r="L697" s="163"/>
      <c r="N697" s="167"/>
      <c r="O697" s="168"/>
    </row>
    <row r="698">
      <c r="B698" s="90"/>
      <c r="C698" s="90"/>
      <c r="E698" s="166"/>
      <c r="J698" s="163"/>
      <c r="L698" s="163"/>
      <c r="N698" s="167"/>
      <c r="O698" s="168"/>
    </row>
    <row r="699">
      <c r="B699" s="90"/>
      <c r="C699" s="90"/>
      <c r="E699" s="166"/>
      <c r="J699" s="163"/>
      <c r="L699" s="163"/>
      <c r="N699" s="167"/>
      <c r="O699" s="168"/>
    </row>
    <row r="700">
      <c r="B700" s="90"/>
      <c r="C700" s="90"/>
      <c r="E700" s="166"/>
      <c r="J700" s="163"/>
      <c r="L700" s="163"/>
      <c r="N700" s="167"/>
      <c r="O700" s="168"/>
    </row>
    <row r="701">
      <c r="B701" s="90"/>
      <c r="C701" s="90"/>
      <c r="E701" s="166"/>
      <c r="J701" s="163"/>
      <c r="L701" s="163"/>
      <c r="N701" s="167"/>
      <c r="O701" s="168"/>
    </row>
    <row r="702">
      <c r="B702" s="90"/>
      <c r="C702" s="90"/>
      <c r="E702" s="166"/>
      <c r="J702" s="163"/>
      <c r="L702" s="163"/>
      <c r="N702" s="167"/>
      <c r="O702" s="168"/>
    </row>
    <row r="703">
      <c r="B703" s="90"/>
      <c r="C703" s="90"/>
      <c r="E703" s="166"/>
      <c r="J703" s="163"/>
      <c r="L703" s="163"/>
      <c r="N703" s="167"/>
      <c r="O703" s="168"/>
    </row>
    <row r="704">
      <c r="B704" s="90"/>
      <c r="C704" s="90"/>
      <c r="E704" s="166"/>
      <c r="J704" s="163"/>
      <c r="L704" s="163"/>
      <c r="N704" s="167"/>
      <c r="O704" s="168"/>
    </row>
    <row r="705">
      <c r="B705" s="90"/>
      <c r="C705" s="90"/>
      <c r="E705" s="166"/>
      <c r="J705" s="163"/>
      <c r="L705" s="163"/>
      <c r="N705" s="167"/>
      <c r="O705" s="168"/>
    </row>
    <row r="706">
      <c r="B706" s="90"/>
      <c r="C706" s="90"/>
      <c r="E706" s="166"/>
      <c r="J706" s="163"/>
      <c r="L706" s="163"/>
      <c r="N706" s="167"/>
      <c r="O706" s="168"/>
    </row>
    <row r="707">
      <c r="B707" s="90"/>
      <c r="C707" s="90"/>
      <c r="E707" s="166"/>
      <c r="J707" s="163"/>
      <c r="L707" s="163"/>
      <c r="N707" s="167"/>
      <c r="O707" s="168"/>
    </row>
    <row r="708">
      <c r="B708" s="90"/>
      <c r="C708" s="90"/>
      <c r="E708" s="166"/>
      <c r="J708" s="163"/>
      <c r="L708" s="163"/>
      <c r="N708" s="167"/>
      <c r="O708" s="168"/>
    </row>
    <row r="709">
      <c r="B709" s="90"/>
      <c r="C709" s="90"/>
      <c r="E709" s="166"/>
      <c r="J709" s="163"/>
      <c r="L709" s="163"/>
      <c r="N709" s="167"/>
      <c r="O709" s="168"/>
    </row>
    <row r="710">
      <c r="B710" s="90"/>
      <c r="C710" s="90"/>
      <c r="E710" s="166"/>
      <c r="J710" s="163"/>
      <c r="L710" s="163"/>
      <c r="N710" s="167"/>
      <c r="O710" s="168"/>
    </row>
    <row r="711">
      <c r="B711" s="90"/>
      <c r="C711" s="90"/>
      <c r="E711" s="166"/>
      <c r="J711" s="163"/>
      <c r="L711" s="163"/>
      <c r="N711" s="167"/>
      <c r="O711" s="168"/>
    </row>
    <row r="712">
      <c r="B712" s="90"/>
      <c r="C712" s="90"/>
      <c r="E712" s="166"/>
      <c r="J712" s="163"/>
      <c r="L712" s="163"/>
      <c r="N712" s="167"/>
      <c r="O712" s="168"/>
    </row>
    <row r="713">
      <c r="B713" s="90"/>
      <c r="C713" s="90"/>
      <c r="E713" s="166"/>
      <c r="J713" s="163"/>
      <c r="L713" s="163"/>
      <c r="N713" s="167"/>
      <c r="O713" s="168"/>
    </row>
    <row r="714">
      <c r="B714" s="90"/>
      <c r="C714" s="90"/>
      <c r="E714" s="166"/>
      <c r="J714" s="163"/>
      <c r="L714" s="163"/>
      <c r="N714" s="167"/>
      <c r="O714" s="168"/>
    </row>
    <row r="715">
      <c r="B715" s="90"/>
      <c r="C715" s="90"/>
      <c r="E715" s="166"/>
      <c r="J715" s="163"/>
      <c r="L715" s="163"/>
      <c r="N715" s="167"/>
      <c r="O715" s="168"/>
    </row>
    <row r="716">
      <c r="B716" s="90"/>
      <c r="C716" s="90"/>
      <c r="E716" s="166"/>
      <c r="J716" s="163"/>
      <c r="L716" s="163"/>
      <c r="N716" s="167"/>
      <c r="O716" s="168"/>
    </row>
    <row r="717">
      <c r="B717" s="90"/>
      <c r="C717" s="90"/>
      <c r="E717" s="166"/>
      <c r="J717" s="163"/>
      <c r="L717" s="163"/>
      <c r="N717" s="167"/>
      <c r="O717" s="168"/>
    </row>
    <row r="718">
      <c r="B718" s="90"/>
      <c r="C718" s="90"/>
      <c r="E718" s="166"/>
      <c r="J718" s="163"/>
      <c r="L718" s="163"/>
      <c r="N718" s="167"/>
      <c r="O718" s="168"/>
    </row>
    <row r="719">
      <c r="B719" s="90"/>
      <c r="C719" s="90"/>
      <c r="E719" s="166"/>
      <c r="J719" s="163"/>
      <c r="L719" s="163"/>
      <c r="N719" s="167"/>
      <c r="O719" s="168"/>
    </row>
    <row r="720">
      <c r="B720" s="90"/>
      <c r="C720" s="90"/>
      <c r="E720" s="166"/>
      <c r="J720" s="163"/>
      <c r="L720" s="163"/>
      <c r="N720" s="167"/>
      <c r="O720" s="168"/>
    </row>
    <row r="721">
      <c r="B721" s="90"/>
      <c r="C721" s="90"/>
      <c r="E721" s="166"/>
      <c r="J721" s="163"/>
      <c r="L721" s="163"/>
      <c r="N721" s="167"/>
      <c r="O721" s="168"/>
    </row>
    <row r="722">
      <c r="B722" s="90"/>
      <c r="C722" s="90"/>
      <c r="E722" s="166"/>
      <c r="J722" s="163"/>
      <c r="L722" s="163"/>
      <c r="N722" s="167"/>
      <c r="O722" s="168"/>
    </row>
    <row r="723">
      <c r="B723" s="90"/>
      <c r="C723" s="90"/>
      <c r="E723" s="166"/>
      <c r="J723" s="163"/>
      <c r="L723" s="163"/>
      <c r="N723" s="167"/>
      <c r="O723" s="168"/>
    </row>
    <row r="724">
      <c r="B724" s="90"/>
      <c r="C724" s="90"/>
      <c r="E724" s="166"/>
      <c r="J724" s="163"/>
      <c r="L724" s="163"/>
      <c r="N724" s="167"/>
      <c r="O724" s="168"/>
    </row>
    <row r="725">
      <c r="B725" s="90"/>
      <c r="C725" s="90"/>
      <c r="E725" s="166"/>
      <c r="J725" s="163"/>
      <c r="L725" s="163"/>
      <c r="N725" s="167"/>
      <c r="O725" s="168"/>
    </row>
    <row r="726">
      <c r="B726" s="90"/>
      <c r="C726" s="90"/>
      <c r="E726" s="166"/>
      <c r="J726" s="163"/>
      <c r="L726" s="163"/>
      <c r="N726" s="167"/>
      <c r="O726" s="168"/>
    </row>
    <row r="727">
      <c r="B727" s="90"/>
      <c r="C727" s="90"/>
      <c r="E727" s="166"/>
      <c r="J727" s="163"/>
      <c r="L727" s="163"/>
      <c r="N727" s="167"/>
      <c r="O727" s="168"/>
    </row>
    <row r="728">
      <c r="B728" s="90"/>
      <c r="C728" s="90"/>
      <c r="E728" s="166"/>
      <c r="J728" s="163"/>
      <c r="L728" s="163"/>
      <c r="N728" s="167"/>
      <c r="O728" s="168"/>
    </row>
    <row r="729">
      <c r="B729" s="90"/>
      <c r="C729" s="90"/>
      <c r="E729" s="166"/>
      <c r="J729" s="163"/>
      <c r="L729" s="163"/>
      <c r="N729" s="167"/>
      <c r="O729" s="168"/>
    </row>
    <row r="730">
      <c r="B730" s="90"/>
      <c r="C730" s="90"/>
      <c r="E730" s="166"/>
      <c r="J730" s="163"/>
      <c r="L730" s="163"/>
      <c r="N730" s="167"/>
      <c r="O730" s="168"/>
    </row>
    <row r="731">
      <c r="B731" s="90"/>
      <c r="C731" s="90"/>
      <c r="E731" s="166"/>
      <c r="J731" s="163"/>
      <c r="L731" s="163"/>
      <c r="N731" s="167"/>
      <c r="O731" s="168"/>
    </row>
    <row r="732">
      <c r="B732" s="90"/>
      <c r="C732" s="90"/>
      <c r="E732" s="166"/>
      <c r="J732" s="163"/>
      <c r="L732" s="163"/>
      <c r="N732" s="167"/>
      <c r="O732" s="168"/>
    </row>
    <row r="733">
      <c r="B733" s="90"/>
      <c r="C733" s="90"/>
      <c r="E733" s="166"/>
      <c r="J733" s="163"/>
      <c r="L733" s="163"/>
      <c r="N733" s="167"/>
      <c r="O733" s="168"/>
    </row>
    <row r="734">
      <c r="B734" s="90"/>
      <c r="C734" s="90"/>
      <c r="E734" s="166"/>
      <c r="J734" s="163"/>
      <c r="L734" s="163"/>
      <c r="N734" s="167"/>
      <c r="O734" s="168"/>
    </row>
    <row r="735">
      <c r="B735" s="90"/>
      <c r="C735" s="90"/>
      <c r="E735" s="166"/>
      <c r="J735" s="163"/>
      <c r="L735" s="163"/>
      <c r="N735" s="167"/>
      <c r="O735" s="168"/>
    </row>
    <row r="736">
      <c r="B736" s="90"/>
      <c r="C736" s="90"/>
      <c r="E736" s="166"/>
      <c r="J736" s="163"/>
      <c r="L736" s="163"/>
      <c r="N736" s="167"/>
      <c r="O736" s="168"/>
    </row>
    <row r="737">
      <c r="B737" s="90"/>
      <c r="C737" s="90"/>
      <c r="E737" s="166"/>
      <c r="J737" s="163"/>
      <c r="L737" s="163"/>
      <c r="N737" s="167"/>
      <c r="O737" s="168"/>
    </row>
    <row r="738">
      <c r="B738" s="90"/>
      <c r="C738" s="90"/>
      <c r="E738" s="166"/>
      <c r="J738" s="163"/>
      <c r="L738" s="163"/>
      <c r="N738" s="167"/>
      <c r="O738" s="168"/>
    </row>
    <row r="739">
      <c r="B739" s="90"/>
      <c r="C739" s="90"/>
      <c r="E739" s="166"/>
      <c r="J739" s="163"/>
      <c r="L739" s="163"/>
      <c r="N739" s="167"/>
      <c r="O739" s="168"/>
    </row>
    <row r="740">
      <c r="B740" s="90"/>
      <c r="C740" s="90"/>
      <c r="E740" s="166"/>
      <c r="J740" s="163"/>
      <c r="L740" s="163"/>
      <c r="N740" s="167"/>
      <c r="O740" s="168"/>
    </row>
    <row r="741">
      <c r="B741" s="90"/>
      <c r="C741" s="90"/>
      <c r="E741" s="166"/>
      <c r="J741" s="163"/>
      <c r="L741" s="163"/>
      <c r="N741" s="167"/>
      <c r="O741" s="168"/>
    </row>
    <row r="742">
      <c r="B742" s="90"/>
      <c r="C742" s="90"/>
      <c r="E742" s="166"/>
      <c r="J742" s="163"/>
      <c r="L742" s="163"/>
      <c r="N742" s="167"/>
      <c r="O742" s="168"/>
    </row>
    <row r="743">
      <c r="B743" s="90"/>
      <c r="C743" s="90"/>
      <c r="E743" s="166"/>
      <c r="J743" s="163"/>
      <c r="L743" s="163"/>
      <c r="N743" s="167"/>
      <c r="O743" s="168"/>
    </row>
    <row r="744">
      <c r="B744" s="90"/>
      <c r="C744" s="90"/>
      <c r="E744" s="166"/>
      <c r="J744" s="163"/>
      <c r="L744" s="163"/>
      <c r="N744" s="167"/>
      <c r="O744" s="168"/>
    </row>
    <row r="745">
      <c r="B745" s="90"/>
      <c r="C745" s="90"/>
      <c r="E745" s="166"/>
      <c r="J745" s="163"/>
      <c r="L745" s="163"/>
      <c r="N745" s="167"/>
      <c r="O745" s="168"/>
    </row>
    <row r="746">
      <c r="B746" s="90"/>
      <c r="C746" s="90"/>
      <c r="E746" s="166"/>
      <c r="J746" s="163"/>
      <c r="L746" s="163"/>
      <c r="N746" s="167"/>
      <c r="O746" s="168"/>
    </row>
    <row r="747">
      <c r="B747" s="90"/>
      <c r="C747" s="90"/>
      <c r="E747" s="166"/>
      <c r="J747" s="163"/>
      <c r="L747" s="163"/>
      <c r="N747" s="167"/>
      <c r="O747" s="168"/>
    </row>
    <row r="748">
      <c r="B748" s="90"/>
      <c r="C748" s="90"/>
      <c r="E748" s="166"/>
      <c r="J748" s="163"/>
      <c r="L748" s="163"/>
      <c r="N748" s="167"/>
      <c r="O748" s="168"/>
    </row>
    <row r="749">
      <c r="B749" s="90"/>
      <c r="C749" s="90"/>
      <c r="E749" s="166"/>
      <c r="J749" s="163"/>
      <c r="L749" s="163"/>
      <c r="N749" s="167"/>
      <c r="O749" s="168"/>
    </row>
    <row r="750">
      <c r="B750" s="90"/>
      <c r="C750" s="90"/>
      <c r="E750" s="166"/>
      <c r="J750" s="163"/>
      <c r="L750" s="163"/>
      <c r="N750" s="167"/>
      <c r="O750" s="168"/>
    </row>
    <row r="751">
      <c r="B751" s="90"/>
      <c r="C751" s="90"/>
      <c r="E751" s="166"/>
      <c r="J751" s="163"/>
      <c r="L751" s="163"/>
      <c r="N751" s="167"/>
      <c r="O751" s="168"/>
    </row>
    <row r="752">
      <c r="B752" s="90"/>
      <c r="C752" s="90"/>
      <c r="E752" s="166"/>
      <c r="J752" s="163"/>
      <c r="L752" s="163"/>
      <c r="N752" s="167"/>
      <c r="O752" s="168"/>
    </row>
    <row r="753">
      <c r="B753" s="90"/>
      <c r="C753" s="90"/>
      <c r="E753" s="166"/>
      <c r="J753" s="163"/>
      <c r="L753" s="163"/>
      <c r="N753" s="167"/>
      <c r="O753" s="168"/>
    </row>
    <row r="754">
      <c r="B754" s="90"/>
      <c r="C754" s="90"/>
      <c r="E754" s="166"/>
      <c r="J754" s="163"/>
      <c r="L754" s="163"/>
      <c r="N754" s="167"/>
      <c r="O754" s="168"/>
    </row>
    <row r="755">
      <c r="B755" s="90"/>
      <c r="C755" s="90"/>
      <c r="E755" s="166"/>
      <c r="J755" s="163"/>
      <c r="L755" s="163"/>
      <c r="N755" s="167"/>
      <c r="O755" s="168"/>
    </row>
    <row r="756">
      <c r="B756" s="90"/>
      <c r="C756" s="90"/>
      <c r="E756" s="166"/>
      <c r="J756" s="163"/>
      <c r="L756" s="163"/>
      <c r="N756" s="167"/>
      <c r="O756" s="168"/>
    </row>
    <row r="757">
      <c r="B757" s="90"/>
      <c r="C757" s="90"/>
      <c r="E757" s="166"/>
      <c r="J757" s="163"/>
      <c r="L757" s="163"/>
      <c r="N757" s="167"/>
      <c r="O757" s="168"/>
    </row>
    <row r="758">
      <c r="B758" s="90"/>
      <c r="C758" s="90"/>
      <c r="E758" s="166"/>
      <c r="J758" s="163"/>
      <c r="L758" s="163"/>
      <c r="N758" s="167"/>
      <c r="O758" s="168"/>
    </row>
    <row r="759">
      <c r="B759" s="90"/>
      <c r="C759" s="90"/>
      <c r="E759" s="166"/>
      <c r="J759" s="163"/>
      <c r="L759" s="163"/>
      <c r="N759" s="167"/>
      <c r="O759" s="168"/>
    </row>
    <row r="760">
      <c r="B760" s="90"/>
      <c r="C760" s="90"/>
      <c r="E760" s="166"/>
      <c r="J760" s="163"/>
      <c r="L760" s="163"/>
      <c r="N760" s="167"/>
      <c r="O760" s="168"/>
    </row>
    <row r="761">
      <c r="B761" s="90"/>
      <c r="C761" s="90"/>
      <c r="E761" s="166"/>
      <c r="J761" s="163"/>
      <c r="L761" s="163"/>
      <c r="N761" s="167"/>
      <c r="O761" s="168"/>
    </row>
    <row r="762">
      <c r="B762" s="90"/>
      <c r="C762" s="90"/>
      <c r="E762" s="166"/>
      <c r="J762" s="163"/>
      <c r="L762" s="163"/>
      <c r="N762" s="167"/>
      <c r="O762" s="168"/>
    </row>
    <row r="763">
      <c r="B763" s="90"/>
      <c r="C763" s="90"/>
      <c r="E763" s="166"/>
      <c r="J763" s="163"/>
      <c r="L763" s="163"/>
      <c r="N763" s="167"/>
      <c r="O763" s="168"/>
    </row>
    <row r="764">
      <c r="B764" s="90"/>
      <c r="C764" s="90"/>
      <c r="E764" s="166"/>
      <c r="J764" s="163"/>
      <c r="L764" s="163"/>
      <c r="N764" s="167"/>
      <c r="O764" s="168"/>
    </row>
    <row r="765">
      <c r="B765" s="90"/>
      <c r="C765" s="90"/>
      <c r="E765" s="166"/>
      <c r="J765" s="163"/>
      <c r="L765" s="163"/>
      <c r="N765" s="167"/>
      <c r="O765" s="168"/>
    </row>
    <row r="766">
      <c r="B766" s="90"/>
      <c r="C766" s="90"/>
      <c r="E766" s="166"/>
      <c r="J766" s="163"/>
      <c r="L766" s="163"/>
      <c r="N766" s="167"/>
      <c r="O766" s="168"/>
    </row>
    <row r="767">
      <c r="B767" s="90"/>
      <c r="C767" s="90"/>
      <c r="E767" s="166"/>
      <c r="J767" s="163"/>
      <c r="L767" s="163"/>
      <c r="N767" s="167"/>
      <c r="O767" s="168"/>
    </row>
    <row r="768">
      <c r="B768" s="90"/>
      <c r="C768" s="90"/>
      <c r="E768" s="166"/>
      <c r="J768" s="163"/>
      <c r="L768" s="163"/>
      <c r="N768" s="167"/>
      <c r="O768" s="168"/>
    </row>
    <row r="769">
      <c r="B769" s="90"/>
      <c r="C769" s="90"/>
      <c r="E769" s="166"/>
      <c r="J769" s="163"/>
      <c r="L769" s="163"/>
      <c r="N769" s="167"/>
      <c r="O769" s="168"/>
    </row>
    <row r="770">
      <c r="B770" s="90"/>
      <c r="C770" s="90"/>
      <c r="E770" s="166"/>
      <c r="J770" s="163"/>
      <c r="L770" s="163"/>
      <c r="N770" s="167"/>
      <c r="O770" s="168"/>
    </row>
    <row r="771">
      <c r="B771" s="90"/>
      <c r="C771" s="90"/>
      <c r="E771" s="166"/>
      <c r="J771" s="163"/>
      <c r="L771" s="163"/>
      <c r="N771" s="167"/>
      <c r="O771" s="168"/>
    </row>
    <row r="772">
      <c r="B772" s="90"/>
      <c r="C772" s="90"/>
      <c r="E772" s="166"/>
      <c r="J772" s="163"/>
      <c r="L772" s="163"/>
      <c r="N772" s="167"/>
      <c r="O772" s="168"/>
    </row>
    <row r="773">
      <c r="B773" s="90"/>
      <c r="C773" s="90"/>
      <c r="E773" s="166"/>
      <c r="J773" s="163"/>
      <c r="L773" s="163"/>
      <c r="N773" s="167"/>
      <c r="O773" s="168"/>
    </row>
    <row r="774">
      <c r="B774" s="90"/>
      <c r="C774" s="90"/>
      <c r="E774" s="166"/>
      <c r="J774" s="163"/>
      <c r="L774" s="163"/>
      <c r="N774" s="167"/>
      <c r="O774" s="168"/>
    </row>
    <row r="775">
      <c r="B775" s="90"/>
      <c r="C775" s="90"/>
      <c r="E775" s="166"/>
      <c r="J775" s="163"/>
      <c r="L775" s="163"/>
      <c r="N775" s="167"/>
      <c r="O775" s="168"/>
    </row>
    <row r="776">
      <c r="B776" s="90"/>
      <c r="C776" s="90"/>
      <c r="E776" s="166"/>
      <c r="J776" s="163"/>
      <c r="L776" s="163"/>
      <c r="N776" s="167"/>
      <c r="O776" s="168"/>
    </row>
    <row r="777">
      <c r="B777" s="90"/>
      <c r="C777" s="90"/>
      <c r="E777" s="166"/>
      <c r="J777" s="163"/>
      <c r="L777" s="163"/>
      <c r="N777" s="167"/>
      <c r="O777" s="168"/>
    </row>
    <row r="778">
      <c r="B778" s="90"/>
      <c r="C778" s="90"/>
      <c r="E778" s="166"/>
      <c r="J778" s="163"/>
      <c r="L778" s="163"/>
      <c r="N778" s="167"/>
      <c r="O778" s="168"/>
    </row>
    <row r="779">
      <c r="B779" s="90"/>
      <c r="C779" s="90"/>
      <c r="E779" s="166"/>
      <c r="J779" s="163"/>
      <c r="L779" s="163"/>
      <c r="N779" s="167"/>
      <c r="O779" s="168"/>
    </row>
    <row r="780">
      <c r="B780" s="90"/>
      <c r="C780" s="90"/>
      <c r="E780" s="166"/>
      <c r="J780" s="163"/>
      <c r="L780" s="163"/>
      <c r="N780" s="167"/>
      <c r="O780" s="168"/>
    </row>
    <row r="781">
      <c r="B781" s="90"/>
      <c r="C781" s="90"/>
      <c r="E781" s="166"/>
      <c r="J781" s="163"/>
      <c r="L781" s="163"/>
      <c r="N781" s="167"/>
      <c r="O781" s="168"/>
    </row>
    <row r="782">
      <c r="B782" s="90"/>
      <c r="C782" s="90"/>
      <c r="E782" s="166"/>
      <c r="J782" s="163"/>
      <c r="L782" s="163"/>
      <c r="N782" s="167"/>
      <c r="O782" s="168"/>
    </row>
    <row r="783">
      <c r="B783" s="90"/>
      <c r="C783" s="90"/>
      <c r="E783" s="166"/>
      <c r="J783" s="163"/>
      <c r="L783" s="163"/>
      <c r="N783" s="167"/>
      <c r="O783" s="168"/>
    </row>
    <row r="784">
      <c r="B784" s="90"/>
      <c r="C784" s="90"/>
      <c r="E784" s="166"/>
      <c r="J784" s="163"/>
      <c r="L784" s="163"/>
      <c r="N784" s="167"/>
      <c r="O784" s="168"/>
    </row>
    <row r="785">
      <c r="B785" s="90"/>
      <c r="C785" s="90"/>
      <c r="E785" s="166"/>
      <c r="J785" s="163"/>
      <c r="L785" s="163"/>
      <c r="N785" s="167"/>
      <c r="O785" s="168"/>
    </row>
    <row r="786">
      <c r="B786" s="90"/>
      <c r="C786" s="90"/>
      <c r="E786" s="166"/>
      <c r="J786" s="163"/>
      <c r="L786" s="163"/>
      <c r="N786" s="167"/>
      <c r="O786" s="168"/>
    </row>
    <row r="787">
      <c r="B787" s="90"/>
      <c r="C787" s="90"/>
      <c r="E787" s="166"/>
      <c r="J787" s="163"/>
      <c r="L787" s="163"/>
      <c r="N787" s="167"/>
      <c r="O787" s="168"/>
    </row>
    <row r="788">
      <c r="B788" s="90"/>
      <c r="C788" s="90"/>
      <c r="E788" s="166"/>
      <c r="J788" s="163"/>
      <c r="L788" s="163"/>
      <c r="N788" s="167"/>
      <c r="O788" s="168"/>
    </row>
    <row r="789">
      <c r="B789" s="90"/>
      <c r="C789" s="90"/>
      <c r="E789" s="166"/>
      <c r="J789" s="163"/>
      <c r="L789" s="163"/>
      <c r="N789" s="167"/>
      <c r="O789" s="168"/>
    </row>
    <row r="790">
      <c r="B790" s="90"/>
      <c r="C790" s="90"/>
      <c r="E790" s="166"/>
      <c r="J790" s="163"/>
      <c r="L790" s="163"/>
      <c r="N790" s="167"/>
      <c r="O790" s="168"/>
    </row>
    <row r="791">
      <c r="B791" s="90"/>
      <c r="C791" s="90"/>
      <c r="E791" s="166"/>
      <c r="J791" s="163"/>
      <c r="L791" s="163"/>
      <c r="N791" s="167"/>
      <c r="O791" s="168"/>
    </row>
    <row r="792">
      <c r="B792" s="90"/>
      <c r="C792" s="90"/>
      <c r="E792" s="166"/>
      <c r="J792" s="163"/>
      <c r="L792" s="163"/>
      <c r="N792" s="167"/>
      <c r="O792" s="168"/>
    </row>
    <row r="793">
      <c r="B793" s="90"/>
      <c r="C793" s="90"/>
      <c r="E793" s="166"/>
      <c r="J793" s="163"/>
      <c r="L793" s="163"/>
      <c r="N793" s="167"/>
      <c r="O793" s="168"/>
    </row>
    <row r="794">
      <c r="B794" s="90"/>
      <c r="C794" s="90"/>
      <c r="E794" s="166"/>
      <c r="J794" s="163"/>
      <c r="L794" s="163"/>
      <c r="N794" s="167"/>
      <c r="O794" s="168"/>
    </row>
    <row r="795">
      <c r="B795" s="90"/>
      <c r="C795" s="90"/>
      <c r="E795" s="166"/>
      <c r="J795" s="163"/>
      <c r="L795" s="163"/>
      <c r="N795" s="167"/>
      <c r="O795" s="168"/>
    </row>
    <row r="796">
      <c r="B796" s="90"/>
      <c r="C796" s="90"/>
      <c r="E796" s="166"/>
      <c r="J796" s="163"/>
      <c r="L796" s="163"/>
      <c r="N796" s="167"/>
      <c r="O796" s="168"/>
    </row>
    <row r="797">
      <c r="B797" s="90"/>
      <c r="C797" s="90"/>
      <c r="E797" s="166"/>
      <c r="J797" s="163"/>
      <c r="L797" s="163"/>
      <c r="N797" s="167"/>
      <c r="O797" s="168"/>
    </row>
    <row r="798">
      <c r="B798" s="90"/>
      <c r="C798" s="90"/>
      <c r="E798" s="166"/>
      <c r="J798" s="163"/>
      <c r="L798" s="163"/>
      <c r="N798" s="167"/>
      <c r="O798" s="168"/>
    </row>
    <row r="799">
      <c r="B799" s="90"/>
      <c r="C799" s="90"/>
      <c r="E799" s="166"/>
      <c r="J799" s="163"/>
      <c r="L799" s="163"/>
      <c r="N799" s="167"/>
      <c r="O799" s="168"/>
    </row>
    <row r="800">
      <c r="B800" s="90"/>
      <c r="C800" s="90"/>
      <c r="E800" s="166"/>
      <c r="J800" s="163"/>
      <c r="L800" s="163"/>
      <c r="N800" s="167"/>
      <c r="O800" s="168"/>
    </row>
    <row r="801">
      <c r="B801" s="90"/>
      <c r="C801" s="90"/>
      <c r="E801" s="166"/>
      <c r="J801" s="163"/>
      <c r="L801" s="163"/>
      <c r="N801" s="167"/>
      <c r="O801" s="168"/>
    </row>
    <row r="802">
      <c r="B802" s="90"/>
      <c r="C802" s="90"/>
      <c r="E802" s="166"/>
      <c r="J802" s="163"/>
      <c r="L802" s="163"/>
      <c r="N802" s="167"/>
      <c r="O802" s="168"/>
    </row>
    <row r="803">
      <c r="B803" s="90"/>
      <c r="C803" s="90"/>
      <c r="E803" s="166"/>
      <c r="J803" s="163"/>
      <c r="L803" s="163"/>
      <c r="N803" s="167"/>
      <c r="O803" s="168"/>
    </row>
    <row r="804">
      <c r="B804" s="90"/>
      <c r="C804" s="90"/>
      <c r="E804" s="166"/>
      <c r="J804" s="163"/>
      <c r="L804" s="163"/>
      <c r="N804" s="167"/>
      <c r="O804" s="168"/>
    </row>
    <row r="805">
      <c r="B805" s="90"/>
      <c r="C805" s="90"/>
      <c r="E805" s="166"/>
      <c r="J805" s="163"/>
      <c r="L805" s="163"/>
      <c r="N805" s="167"/>
      <c r="O805" s="168"/>
    </row>
    <row r="806">
      <c r="B806" s="90"/>
      <c r="C806" s="90"/>
      <c r="E806" s="166"/>
      <c r="J806" s="163"/>
      <c r="L806" s="163"/>
      <c r="N806" s="167"/>
      <c r="O806" s="168"/>
    </row>
    <row r="807">
      <c r="B807" s="90"/>
      <c r="C807" s="90"/>
      <c r="E807" s="166"/>
      <c r="J807" s="163"/>
      <c r="L807" s="163"/>
      <c r="N807" s="167"/>
      <c r="O807" s="168"/>
    </row>
    <row r="808">
      <c r="B808" s="90"/>
      <c r="C808" s="90"/>
      <c r="E808" s="166"/>
      <c r="J808" s="163"/>
      <c r="L808" s="163"/>
      <c r="N808" s="167"/>
      <c r="O808" s="168"/>
    </row>
    <row r="809">
      <c r="B809" s="90"/>
      <c r="C809" s="90"/>
      <c r="E809" s="166"/>
      <c r="J809" s="163"/>
      <c r="L809" s="163"/>
      <c r="N809" s="167"/>
      <c r="O809" s="168"/>
    </row>
    <row r="810">
      <c r="B810" s="90"/>
      <c r="C810" s="90"/>
      <c r="E810" s="166"/>
      <c r="J810" s="163"/>
      <c r="L810" s="163"/>
      <c r="N810" s="167"/>
      <c r="O810" s="168"/>
    </row>
    <row r="811">
      <c r="B811" s="90"/>
      <c r="C811" s="90"/>
      <c r="E811" s="166"/>
      <c r="J811" s="163"/>
      <c r="L811" s="163"/>
      <c r="N811" s="167"/>
      <c r="O811" s="168"/>
    </row>
    <row r="812">
      <c r="B812" s="90"/>
      <c r="C812" s="90"/>
      <c r="E812" s="166"/>
      <c r="J812" s="163"/>
      <c r="L812" s="163"/>
      <c r="N812" s="167"/>
      <c r="O812" s="168"/>
    </row>
    <row r="813">
      <c r="B813" s="90"/>
      <c r="C813" s="90"/>
      <c r="E813" s="166"/>
      <c r="J813" s="163"/>
      <c r="L813" s="163"/>
      <c r="N813" s="167"/>
      <c r="O813" s="168"/>
    </row>
    <row r="814">
      <c r="B814" s="90"/>
      <c r="C814" s="90"/>
      <c r="E814" s="166"/>
      <c r="J814" s="163"/>
      <c r="L814" s="163"/>
      <c r="N814" s="167"/>
      <c r="O814" s="168"/>
    </row>
    <row r="815">
      <c r="B815" s="90"/>
      <c r="C815" s="90"/>
      <c r="E815" s="166"/>
      <c r="J815" s="163"/>
      <c r="L815" s="163"/>
      <c r="N815" s="167"/>
      <c r="O815" s="168"/>
    </row>
    <row r="816">
      <c r="B816" s="90"/>
      <c r="C816" s="90"/>
      <c r="E816" s="166"/>
      <c r="J816" s="163"/>
      <c r="L816" s="163"/>
      <c r="N816" s="167"/>
      <c r="O816" s="168"/>
    </row>
    <row r="817">
      <c r="B817" s="90"/>
      <c r="C817" s="90"/>
      <c r="E817" s="166"/>
      <c r="J817" s="163"/>
      <c r="L817" s="163"/>
      <c r="N817" s="167"/>
      <c r="O817" s="168"/>
    </row>
    <row r="818">
      <c r="B818" s="90"/>
      <c r="C818" s="90"/>
      <c r="E818" s="166"/>
      <c r="J818" s="163"/>
      <c r="L818" s="163"/>
      <c r="N818" s="167"/>
      <c r="O818" s="168"/>
    </row>
    <row r="819">
      <c r="B819" s="90"/>
      <c r="C819" s="90"/>
      <c r="E819" s="166"/>
      <c r="J819" s="163"/>
      <c r="L819" s="163"/>
      <c r="N819" s="167"/>
      <c r="O819" s="168"/>
    </row>
    <row r="820">
      <c r="B820" s="90"/>
      <c r="C820" s="90"/>
      <c r="E820" s="166"/>
      <c r="J820" s="163"/>
      <c r="L820" s="163"/>
      <c r="N820" s="167"/>
      <c r="O820" s="168"/>
    </row>
    <row r="821">
      <c r="B821" s="90"/>
      <c r="C821" s="90"/>
      <c r="E821" s="166"/>
      <c r="J821" s="163"/>
      <c r="L821" s="163"/>
      <c r="N821" s="167"/>
      <c r="O821" s="168"/>
    </row>
    <row r="822">
      <c r="B822" s="90"/>
      <c r="C822" s="90"/>
      <c r="E822" s="166"/>
      <c r="J822" s="163"/>
      <c r="L822" s="163"/>
      <c r="N822" s="167"/>
      <c r="O822" s="168"/>
    </row>
    <row r="823">
      <c r="B823" s="90"/>
      <c r="C823" s="90"/>
      <c r="E823" s="166"/>
      <c r="J823" s="163"/>
      <c r="L823" s="163"/>
      <c r="N823" s="167"/>
      <c r="O823" s="168"/>
    </row>
    <row r="824">
      <c r="B824" s="90"/>
      <c r="C824" s="90"/>
      <c r="E824" s="166"/>
      <c r="J824" s="163"/>
      <c r="L824" s="163"/>
      <c r="N824" s="167"/>
      <c r="O824" s="168"/>
    </row>
    <row r="825">
      <c r="B825" s="90"/>
      <c r="C825" s="90"/>
      <c r="E825" s="166"/>
      <c r="J825" s="163"/>
      <c r="L825" s="163"/>
      <c r="N825" s="167"/>
      <c r="O825" s="168"/>
    </row>
    <row r="826">
      <c r="B826" s="90"/>
      <c r="C826" s="90"/>
      <c r="E826" s="166"/>
      <c r="J826" s="163"/>
      <c r="L826" s="163"/>
      <c r="N826" s="167"/>
      <c r="O826" s="168"/>
    </row>
    <row r="827">
      <c r="B827" s="90"/>
      <c r="C827" s="90"/>
      <c r="E827" s="166"/>
      <c r="J827" s="163"/>
      <c r="L827" s="163"/>
      <c r="N827" s="167"/>
      <c r="O827" s="168"/>
    </row>
    <row r="828">
      <c r="B828" s="90"/>
      <c r="C828" s="90"/>
      <c r="E828" s="166"/>
      <c r="J828" s="163"/>
      <c r="L828" s="163"/>
      <c r="N828" s="167"/>
      <c r="O828" s="168"/>
    </row>
    <row r="829">
      <c r="B829" s="90"/>
      <c r="C829" s="90"/>
      <c r="E829" s="166"/>
      <c r="J829" s="163"/>
      <c r="L829" s="163"/>
      <c r="N829" s="167"/>
      <c r="O829" s="168"/>
    </row>
    <row r="830">
      <c r="B830" s="90"/>
      <c r="C830" s="90"/>
      <c r="E830" s="166"/>
      <c r="J830" s="163"/>
      <c r="L830" s="163"/>
      <c r="N830" s="167"/>
      <c r="O830" s="168"/>
    </row>
    <row r="831">
      <c r="B831" s="90"/>
      <c r="C831" s="90"/>
      <c r="E831" s="166"/>
      <c r="J831" s="163"/>
      <c r="L831" s="163"/>
      <c r="N831" s="167"/>
      <c r="O831" s="168"/>
    </row>
    <row r="832">
      <c r="B832" s="90"/>
      <c r="C832" s="90"/>
      <c r="E832" s="166"/>
      <c r="J832" s="163"/>
      <c r="L832" s="163"/>
      <c r="N832" s="167"/>
      <c r="O832" s="168"/>
    </row>
    <row r="833">
      <c r="B833" s="90"/>
      <c r="C833" s="90"/>
      <c r="E833" s="166"/>
      <c r="J833" s="163"/>
      <c r="L833" s="163"/>
      <c r="N833" s="167"/>
      <c r="O833" s="168"/>
    </row>
    <row r="834">
      <c r="B834" s="90"/>
      <c r="C834" s="90"/>
      <c r="E834" s="166"/>
      <c r="J834" s="163"/>
      <c r="L834" s="163"/>
      <c r="N834" s="167"/>
      <c r="O834" s="168"/>
    </row>
    <row r="835">
      <c r="B835" s="90"/>
      <c r="C835" s="90"/>
      <c r="E835" s="166"/>
      <c r="J835" s="163"/>
      <c r="L835" s="163"/>
      <c r="N835" s="167"/>
      <c r="O835" s="168"/>
    </row>
    <row r="836">
      <c r="B836" s="90"/>
      <c r="C836" s="90"/>
      <c r="E836" s="166"/>
      <c r="J836" s="163"/>
      <c r="L836" s="163"/>
      <c r="N836" s="167"/>
      <c r="O836" s="168"/>
    </row>
    <row r="837">
      <c r="B837" s="90"/>
      <c r="C837" s="90"/>
      <c r="E837" s="166"/>
      <c r="J837" s="163"/>
      <c r="L837" s="163"/>
      <c r="N837" s="167"/>
      <c r="O837" s="168"/>
    </row>
    <row r="838">
      <c r="B838" s="90"/>
      <c r="C838" s="90"/>
      <c r="E838" s="166"/>
      <c r="J838" s="163"/>
      <c r="L838" s="163"/>
      <c r="N838" s="167"/>
      <c r="O838" s="168"/>
    </row>
    <row r="839">
      <c r="B839" s="90"/>
      <c r="C839" s="90"/>
      <c r="E839" s="166"/>
      <c r="J839" s="163"/>
      <c r="L839" s="163"/>
      <c r="N839" s="167"/>
      <c r="O839" s="168"/>
    </row>
    <row r="840">
      <c r="B840" s="90"/>
      <c r="C840" s="90"/>
      <c r="E840" s="166"/>
      <c r="J840" s="163"/>
      <c r="L840" s="163"/>
      <c r="N840" s="167"/>
      <c r="O840" s="168"/>
    </row>
    <row r="841">
      <c r="B841" s="90"/>
      <c r="C841" s="90"/>
      <c r="E841" s="166"/>
      <c r="J841" s="163"/>
      <c r="L841" s="163"/>
      <c r="N841" s="167"/>
      <c r="O841" s="168"/>
    </row>
    <row r="842">
      <c r="B842" s="90"/>
      <c r="C842" s="90"/>
      <c r="E842" s="166"/>
      <c r="J842" s="163"/>
      <c r="L842" s="163"/>
      <c r="N842" s="167"/>
      <c r="O842" s="168"/>
    </row>
    <row r="843">
      <c r="B843" s="90"/>
      <c r="C843" s="90"/>
      <c r="E843" s="166"/>
      <c r="J843" s="163"/>
      <c r="L843" s="163"/>
      <c r="N843" s="167"/>
      <c r="O843" s="168"/>
    </row>
    <row r="844">
      <c r="B844" s="90"/>
      <c r="C844" s="90"/>
      <c r="E844" s="166"/>
      <c r="J844" s="163"/>
      <c r="L844" s="163"/>
      <c r="N844" s="167"/>
      <c r="O844" s="168"/>
    </row>
    <row r="845">
      <c r="B845" s="90"/>
      <c r="C845" s="90"/>
      <c r="E845" s="166"/>
      <c r="J845" s="163"/>
      <c r="L845" s="163"/>
      <c r="N845" s="167"/>
      <c r="O845" s="168"/>
    </row>
    <row r="846">
      <c r="B846" s="90"/>
      <c r="C846" s="90"/>
      <c r="E846" s="166"/>
      <c r="J846" s="163"/>
      <c r="L846" s="163"/>
      <c r="N846" s="167"/>
      <c r="O846" s="168"/>
    </row>
    <row r="847">
      <c r="B847" s="90"/>
      <c r="C847" s="90"/>
      <c r="E847" s="166"/>
      <c r="J847" s="163"/>
      <c r="L847" s="163"/>
      <c r="N847" s="167"/>
      <c r="O847" s="168"/>
    </row>
    <row r="848">
      <c r="B848" s="90"/>
      <c r="C848" s="90"/>
      <c r="E848" s="166"/>
      <c r="J848" s="163"/>
      <c r="L848" s="163"/>
      <c r="N848" s="167"/>
      <c r="O848" s="168"/>
    </row>
    <row r="849">
      <c r="B849" s="90"/>
      <c r="C849" s="90"/>
      <c r="E849" s="166"/>
      <c r="J849" s="163"/>
      <c r="L849" s="163"/>
      <c r="N849" s="167"/>
      <c r="O849" s="168"/>
    </row>
    <row r="850">
      <c r="B850" s="90"/>
      <c r="C850" s="90"/>
      <c r="E850" s="166"/>
      <c r="J850" s="163"/>
      <c r="L850" s="163"/>
      <c r="N850" s="167"/>
      <c r="O850" s="168"/>
    </row>
    <row r="851">
      <c r="B851" s="90"/>
      <c r="C851" s="90"/>
      <c r="E851" s="166"/>
      <c r="J851" s="163"/>
      <c r="L851" s="163"/>
      <c r="N851" s="167"/>
      <c r="O851" s="168"/>
    </row>
    <row r="852">
      <c r="B852" s="90"/>
      <c r="C852" s="90"/>
      <c r="E852" s="166"/>
      <c r="J852" s="163"/>
      <c r="L852" s="163"/>
      <c r="N852" s="167"/>
      <c r="O852" s="168"/>
    </row>
    <row r="853">
      <c r="B853" s="90"/>
      <c r="C853" s="90"/>
      <c r="E853" s="166"/>
      <c r="J853" s="163"/>
      <c r="L853" s="163"/>
      <c r="N853" s="167"/>
      <c r="O853" s="168"/>
    </row>
    <row r="854">
      <c r="B854" s="90"/>
      <c r="C854" s="90"/>
      <c r="E854" s="166"/>
      <c r="J854" s="163"/>
      <c r="L854" s="163"/>
      <c r="N854" s="167"/>
      <c r="O854" s="168"/>
    </row>
    <row r="855">
      <c r="B855" s="90"/>
      <c r="C855" s="90"/>
      <c r="E855" s="166"/>
      <c r="J855" s="163"/>
      <c r="L855" s="163"/>
      <c r="N855" s="167"/>
      <c r="O855" s="168"/>
    </row>
    <row r="856">
      <c r="B856" s="90"/>
      <c r="C856" s="90"/>
      <c r="E856" s="166"/>
      <c r="J856" s="163"/>
      <c r="L856" s="163"/>
      <c r="N856" s="167"/>
      <c r="O856" s="168"/>
    </row>
    <row r="857">
      <c r="B857" s="90"/>
      <c r="C857" s="90"/>
      <c r="E857" s="166"/>
      <c r="J857" s="163"/>
      <c r="L857" s="163"/>
      <c r="N857" s="167"/>
      <c r="O857" s="168"/>
    </row>
    <row r="858">
      <c r="B858" s="90"/>
      <c r="C858" s="90"/>
      <c r="E858" s="166"/>
      <c r="J858" s="163"/>
      <c r="L858" s="163"/>
      <c r="N858" s="167"/>
      <c r="O858" s="168"/>
    </row>
    <row r="859">
      <c r="B859" s="90"/>
      <c r="C859" s="90"/>
      <c r="E859" s="166"/>
      <c r="J859" s="163"/>
      <c r="L859" s="163"/>
      <c r="N859" s="167"/>
      <c r="O859" s="168"/>
    </row>
    <row r="860">
      <c r="B860" s="90"/>
      <c r="C860" s="90"/>
      <c r="E860" s="166"/>
      <c r="J860" s="163"/>
      <c r="L860" s="163"/>
      <c r="N860" s="167"/>
      <c r="O860" s="168"/>
    </row>
    <row r="861">
      <c r="B861" s="90"/>
      <c r="C861" s="90"/>
      <c r="E861" s="166"/>
      <c r="J861" s="163"/>
      <c r="L861" s="163"/>
      <c r="N861" s="167"/>
      <c r="O861" s="168"/>
    </row>
    <row r="862">
      <c r="B862" s="90"/>
      <c r="C862" s="90"/>
      <c r="E862" s="166"/>
      <c r="J862" s="163"/>
      <c r="L862" s="163"/>
      <c r="N862" s="167"/>
      <c r="O862" s="168"/>
    </row>
    <row r="863">
      <c r="B863" s="90"/>
      <c r="C863" s="90"/>
      <c r="E863" s="166"/>
      <c r="J863" s="163"/>
      <c r="L863" s="163"/>
      <c r="N863" s="167"/>
      <c r="O863" s="168"/>
    </row>
    <row r="864">
      <c r="B864" s="90"/>
      <c r="C864" s="90"/>
      <c r="E864" s="166"/>
      <c r="J864" s="163"/>
      <c r="L864" s="163"/>
      <c r="N864" s="167"/>
      <c r="O864" s="168"/>
    </row>
    <row r="865">
      <c r="B865" s="90"/>
      <c r="C865" s="90"/>
      <c r="E865" s="166"/>
      <c r="J865" s="163"/>
      <c r="L865" s="163"/>
      <c r="N865" s="167"/>
      <c r="O865" s="168"/>
    </row>
    <row r="866">
      <c r="B866" s="90"/>
      <c r="C866" s="90"/>
      <c r="E866" s="166"/>
      <c r="J866" s="163"/>
      <c r="L866" s="163"/>
      <c r="N866" s="167"/>
      <c r="O866" s="168"/>
    </row>
    <row r="867">
      <c r="B867" s="90"/>
      <c r="C867" s="90"/>
      <c r="E867" s="166"/>
      <c r="J867" s="163"/>
      <c r="L867" s="163"/>
      <c r="N867" s="167"/>
      <c r="O867" s="168"/>
    </row>
    <row r="868">
      <c r="B868" s="90"/>
      <c r="C868" s="90"/>
      <c r="E868" s="166"/>
      <c r="J868" s="163"/>
      <c r="L868" s="163"/>
      <c r="N868" s="167"/>
      <c r="O868" s="168"/>
    </row>
    <row r="869">
      <c r="B869" s="90"/>
      <c r="C869" s="90"/>
      <c r="E869" s="166"/>
      <c r="J869" s="163"/>
      <c r="L869" s="163"/>
      <c r="N869" s="167"/>
      <c r="O869" s="168"/>
    </row>
    <row r="870">
      <c r="B870" s="90"/>
      <c r="C870" s="90"/>
      <c r="E870" s="166"/>
      <c r="J870" s="163"/>
      <c r="L870" s="163"/>
      <c r="N870" s="167"/>
      <c r="O870" s="168"/>
    </row>
    <row r="871">
      <c r="B871" s="90"/>
      <c r="C871" s="90"/>
      <c r="E871" s="166"/>
      <c r="J871" s="163"/>
      <c r="L871" s="163"/>
      <c r="N871" s="167"/>
      <c r="O871" s="168"/>
    </row>
    <row r="872">
      <c r="B872" s="90"/>
      <c r="C872" s="90"/>
      <c r="E872" s="166"/>
      <c r="J872" s="163"/>
      <c r="L872" s="163"/>
      <c r="N872" s="167"/>
      <c r="O872" s="168"/>
    </row>
    <row r="873">
      <c r="B873" s="90"/>
      <c r="C873" s="90"/>
      <c r="E873" s="166"/>
      <c r="J873" s="163"/>
      <c r="L873" s="163"/>
      <c r="N873" s="167"/>
      <c r="O873" s="168"/>
    </row>
    <row r="874">
      <c r="B874" s="90"/>
      <c r="C874" s="90"/>
      <c r="E874" s="166"/>
      <c r="J874" s="163"/>
      <c r="L874" s="163"/>
      <c r="N874" s="167"/>
      <c r="O874" s="168"/>
    </row>
    <row r="875">
      <c r="B875" s="90"/>
      <c r="C875" s="90"/>
      <c r="E875" s="166"/>
      <c r="J875" s="163"/>
      <c r="L875" s="163"/>
      <c r="N875" s="167"/>
      <c r="O875" s="168"/>
    </row>
    <row r="876">
      <c r="B876" s="90"/>
      <c r="C876" s="90"/>
      <c r="E876" s="166"/>
      <c r="J876" s="163"/>
      <c r="L876" s="163"/>
      <c r="N876" s="167"/>
      <c r="O876" s="168"/>
    </row>
    <row r="877">
      <c r="B877" s="90"/>
      <c r="C877" s="90"/>
      <c r="E877" s="166"/>
      <c r="J877" s="163"/>
      <c r="L877" s="163"/>
      <c r="N877" s="167"/>
      <c r="O877" s="168"/>
    </row>
    <row r="878">
      <c r="B878" s="90"/>
      <c r="C878" s="90"/>
      <c r="E878" s="166"/>
      <c r="J878" s="163"/>
      <c r="L878" s="163"/>
      <c r="N878" s="167"/>
      <c r="O878" s="168"/>
    </row>
    <row r="879">
      <c r="B879" s="90"/>
      <c r="C879" s="90"/>
      <c r="E879" s="166"/>
      <c r="J879" s="163"/>
      <c r="L879" s="163"/>
      <c r="N879" s="167"/>
      <c r="O879" s="168"/>
    </row>
    <row r="880">
      <c r="B880" s="90"/>
      <c r="C880" s="90"/>
      <c r="E880" s="166"/>
      <c r="J880" s="163"/>
      <c r="L880" s="163"/>
      <c r="N880" s="167"/>
      <c r="O880" s="168"/>
    </row>
    <row r="881">
      <c r="B881" s="90"/>
      <c r="C881" s="90"/>
      <c r="E881" s="166"/>
      <c r="J881" s="163"/>
      <c r="L881" s="163"/>
      <c r="N881" s="167"/>
      <c r="O881" s="168"/>
    </row>
    <row r="882">
      <c r="B882" s="90"/>
      <c r="C882" s="90"/>
      <c r="E882" s="166"/>
      <c r="J882" s="163"/>
      <c r="L882" s="163"/>
      <c r="N882" s="167"/>
      <c r="O882" s="168"/>
    </row>
    <row r="883">
      <c r="B883" s="90"/>
      <c r="C883" s="90"/>
      <c r="E883" s="166"/>
      <c r="J883" s="163"/>
      <c r="L883" s="163"/>
      <c r="N883" s="167"/>
      <c r="O883" s="168"/>
    </row>
    <row r="884">
      <c r="B884" s="90"/>
      <c r="C884" s="90"/>
      <c r="E884" s="166"/>
      <c r="J884" s="163"/>
      <c r="L884" s="163"/>
      <c r="N884" s="167"/>
      <c r="O884" s="168"/>
    </row>
    <row r="885">
      <c r="B885" s="90"/>
      <c r="C885" s="90"/>
      <c r="E885" s="166"/>
      <c r="J885" s="163"/>
      <c r="L885" s="163"/>
      <c r="N885" s="167"/>
      <c r="O885" s="168"/>
    </row>
    <row r="886">
      <c r="B886" s="90"/>
      <c r="C886" s="90"/>
      <c r="E886" s="166"/>
      <c r="J886" s="163"/>
      <c r="L886" s="163"/>
      <c r="N886" s="167"/>
      <c r="O886" s="168"/>
    </row>
    <row r="887">
      <c r="B887" s="90"/>
      <c r="C887" s="90"/>
      <c r="E887" s="166"/>
      <c r="J887" s="163"/>
      <c r="L887" s="163"/>
      <c r="N887" s="167"/>
      <c r="O887" s="168"/>
    </row>
    <row r="888">
      <c r="B888" s="90"/>
      <c r="C888" s="90"/>
      <c r="E888" s="166"/>
      <c r="J888" s="163"/>
      <c r="L888" s="163"/>
      <c r="N888" s="167"/>
      <c r="O888" s="168"/>
    </row>
    <row r="889">
      <c r="B889" s="90"/>
      <c r="C889" s="90"/>
      <c r="E889" s="166"/>
      <c r="J889" s="163"/>
      <c r="L889" s="163"/>
      <c r="N889" s="167"/>
      <c r="O889" s="168"/>
    </row>
    <row r="890">
      <c r="B890" s="90"/>
      <c r="C890" s="90"/>
      <c r="E890" s="166"/>
      <c r="J890" s="163"/>
      <c r="L890" s="163"/>
      <c r="N890" s="167"/>
      <c r="O890" s="168"/>
    </row>
    <row r="891">
      <c r="B891" s="90"/>
      <c r="C891" s="90"/>
      <c r="E891" s="166"/>
      <c r="J891" s="163"/>
      <c r="L891" s="163"/>
      <c r="N891" s="167"/>
      <c r="O891" s="168"/>
    </row>
    <row r="892">
      <c r="B892" s="90"/>
      <c r="C892" s="90"/>
      <c r="E892" s="166"/>
      <c r="J892" s="163"/>
      <c r="L892" s="163"/>
      <c r="N892" s="167"/>
      <c r="O892" s="168"/>
    </row>
    <row r="893">
      <c r="B893" s="90"/>
      <c r="C893" s="90"/>
      <c r="E893" s="166"/>
      <c r="J893" s="163"/>
      <c r="L893" s="163"/>
      <c r="N893" s="167"/>
      <c r="O893" s="168"/>
    </row>
    <row r="894">
      <c r="B894" s="90"/>
      <c r="C894" s="90"/>
      <c r="E894" s="166"/>
      <c r="J894" s="163"/>
      <c r="L894" s="163"/>
      <c r="N894" s="167"/>
      <c r="O894" s="168"/>
    </row>
    <row r="895">
      <c r="B895" s="90"/>
      <c r="C895" s="90"/>
      <c r="E895" s="166"/>
      <c r="J895" s="163"/>
      <c r="L895" s="163"/>
      <c r="N895" s="167"/>
      <c r="O895" s="168"/>
    </row>
    <row r="896">
      <c r="B896" s="90"/>
      <c r="C896" s="90"/>
      <c r="E896" s="166"/>
      <c r="J896" s="163"/>
      <c r="L896" s="163"/>
      <c r="N896" s="167"/>
      <c r="O896" s="168"/>
    </row>
    <row r="897">
      <c r="B897" s="90"/>
      <c r="C897" s="90"/>
      <c r="E897" s="166"/>
      <c r="J897" s="163"/>
      <c r="L897" s="163"/>
      <c r="N897" s="167"/>
      <c r="O897" s="168"/>
    </row>
    <row r="898">
      <c r="B898" s="90"/>
      <c r="C898" s="90"/>
      <c r="E898" s="166"/>
      <c r="J898" s="163"/>
      <c r="L898" s="163"/>
      <c r="N898" s="167"/>
      <c r="O898" s="168"/>
    </row>
    <row r="899">
      <c r="B899" s="90"/>
      <c r="C899" s="90"/>
      <c r="E899" s="166"/>
      <c r="J899" s="163"/>
      <c r="L899" s="163"/>
      <c r="N899" s="167"/>
      <c r="O899" s="168"/>
    </row>
    <row r="900">
      <c r="B900" s="90"/>
      <c r="C900" s="90"/>
      <c r="E900" s="166"/>
      <c r="J900" s="163"/>
      <c r="L900" s="163"/>
      <c r="N900" s="167"/>
      <c r="O900" s="168"/>
    </row>
    <row r="901">
      <c r="B901" s="90"/>
      <c r="C901" s="90"/>
      <c r="E901" s="166"/>
      <c r="J901" s="163"/>
      <c r="L901" s="163"/>
      <c r="N901" s="167"/>
      <c r="O901" s="168"/>
    </row>
    <row r="902">
      <c r="B902" s="90"/>
      <c r="C902" s="90"/>
      <c r="E902" s="166"/>
      <c r="J902" s="163"/>
      <c r="L902" s="163"/>
      <c r="N902" s="167"/>
      <c r="O902" s="168"/>
    </row>
    <row r="903">
      <c r="B903" s="90"/>
      <c r="C903" s="90"/>
      <c r="E903" s="166"/>
      <c r="J903" s="163"/>
      <c r="L903" s="163"/>
      <c r="N903" s="167"/>
      <c r="O903" s="168"/>
    </row>
    <row r="904">
      <c r="B904" s="90"/>
      <c r="C904" s="90"/>
      <c r="E904" s="166"/>
      <c r="J904" s="163"/>
      <c r="L904" s="163"/>
      <c r="N904" s="167"/>
      <c r="O904" s="168"/>
    </row>
    <row r="905">
      <c r="B905" s="90"/>
      <c r="C905" s="90"/>
      <c r="E905" s="166"/>
      <c r="J905" s="163"/>
      <c r="L905" s="163"/>
      <c r="N905" s="167"/>
      <c r="O905" s="168"/>
    </row>
    <row r="906">
      <c r="B906" s="90"/>
      <c r="C906" s="90"/>
      <c r="E906" s="166"/>
      <c r="J906" s="163"/>
      <c r="L906" s="163"/>
      <c r="N906" s="167"/>
      <c r="O906" s="168"/>
    </row>
    <row r="907">
      <c r="B907" s="90"/>
      <c r="C907" s="90"/>
      <c r="E907" s="166"/>
      <c r="J907" s="163"/>
      <c r="L907" s="163"/>
      <c r="N907" s="167"/>
      <c r="O907" s="168"/>
    </row>
    <row r="908">
      <c r="B908" s="90"/>
      <c r="C908" s="90"/>
      <c r="E908" s="166"/>
      <c r="J908" s="163"/>
      <c r="L908" s="163"/>
      <c r="N908" s="167"/>
      <c r="O908" s="168"/>
    </row>
    <row r="909">
      <c r="B909" s="90"/>
      <c r="C909" s="90"/>
      <c r="E909" s="166"/>
      <c r="J909" s="163"/>
      <c r="L909" s="163"/>
      <c r="N909" s="167"/>
      <c r="O909" s="168"/>
    </row>
    <row r="910">
      <c r="B910" s="90"/>
      <c r="C910" s="90"/>
      <c r="E910" s="166"/>
      <c r="J910" s="163"/>
      <c r="L910" s="163"/>
      <c r="N910" s="167"/>
      <c r="O910" s="168"/>
    </row>
    <row r="911">
      <c r="B911" s="90"/>
      <c r="C911" s="90"/>
      <c r="E911" s="166"/>
      <c r="J911" s="163"/>
      <c r="L911" s="163"/>
      <c r="N911" s="167"/>
      <c r="O911" s="168"/>
    </row>
    <row r="912">
      <c r="B912" s="90"/>
      <c r="C912" s="90"/>
      <c r="E912" s="166"/>
      <c r="J912" s="163"/>
      <c r="L912" s="163"/>
      <c r="N912" s="167"/>
      <c r="O912" s="168"/>
    </row>
    <row r="913">
      <c r="B913" s="90"/>
      <c r="C913" s="90"/>
      <c r="E913" s="166"/>
      <c r="J913" s="163"/>
      <c r="L913" s="163"/>
      <c r="N913" s="167"/>
      <c r="O913" s="168"/>
    </row>
    <row r="914">
      <c r="B914" s="90"/>
      <c r="C914" s="90"/>
      <c r="E914" s="166"/>
      <c r="J914" s="163"/>
      <c r="L914" s="163"/>
      <c r="N914" s="167"/>
      <c r="O914" s="168"/>
    </row>
    <row r="915">
      <c r="B915" s="90"/>
      <c r="C915" s="90"/>
      <c r="E915" s="166"/>
      <c r="J915" s="163"/>
      <c r="L915" s="163"/>
      <c r="N915" s="167"/>
      <c r="O915" s="168"/>
    </row>
    <row r="916">
      <c r="B916" s="90"/>
      <c r="C916" s="90"/>
      <c r="E916" s="166"/>
      <c r="J916" s="163"/>
      <c r="L916" s="163"/>
      <c r="N916" s="167"/>
      <c r="O916" s="168"/>
    </row>
    <row r="917">
      <c r="B917" s="90"/>
      <c r="C917" s="90"/>
      <c r="E917" s="166"/>
      <c r="J917" s="163"/>
      <c r="L917" s="163"/>
      <c r="N917" s="167"/>
      <c r="O917" s="168"/>
    </row>
    <row r="918">
      <c r="B918" s="90"/>
      <c r="C918" s="90"/>
      <c r="E918" s="166"/>
      <c r="J918" s="163"/>
      <c r="L918" s="163"/>
      <c r="N918" s="167"/>
      <c r="O918" s="168"/>
    </row>
    <row r="919">
      <c r="B919" s="90"/>
      <c r="C919" s="90"/>
      <c r="E919" s="166"/>
      <c r="J919" s="163"/>
      <c r="L919" s="163"/>
      <c r="N919" s="167"/>
      <c r="O919" s="168"/>
    </row>
    <row r="920">
      <c r="B920" s="90"/>
      <c r="C920" s="90"/>
      <c r="E920" s="166"/>
      <c r="J920" s="163"/>
      <c r="L920" s="163"/>
      <c r="N920" s="167"/>
      <c r="O920" s="168"/>
    </row>
    <row r="921">
      <c r="B921" s="90"/>
      <c r="C921" s="90"/>
      <c r="E921" s="166"/>
      <c r="J921" s="163"/>
      <c r="L921" s="163"/>
      <c r="N921" s="167"/>
      <c r="O921" s="168"/>
    </row>
    <row r="922">
      <c r="B922" s="90"/>
      <c r="C922" s="90"/>
      <c r="E922" s="166"/>
      <c r="J922" s="163"/>
      <c r="L922" s="163"/>
      <c r="N922" s="167"/>
      <c r="O922" s="168"/>
    </row>
    <row r="923">
      <c r="B923" s="90"/>
      <c r="C923" s="90"/>
      <c r="E923" s="166"/>
      <c r="J923" s="163"/>
      <c r="L923" s="163"/>
      <c r="N923" s="167"/>
      <c r="O923" s="168"/>
    </row>
    <row r="924">
      <c r="B924" s="90"/>
      <c r="C924" s="90"/>
      <c r="E924" s="166"/>
      <c r="J924" s="163"/>
      <c r="L924" s="163"/>
      <c r="N924" s="167"/>
      <c r="O924" s="168"/>
    </row>
    <row r="925">
      <c r="B925" s="90"/>
      <c r="C925" s="90"/>
      <c r="E925" s="166"/>
      <c r="J925" s="163"/>
      <c r="L925" s="163"/>
      <c r="N925" s="167"/>
      <c r="O925" s="168"/>
    </row>
    <row r="926">
      <c r="B926" s="90"/>
      <c r="C926" s="90"/>
      <c r="E926" s="166"/>
      <c r="J926" s="163"/>
      <c r="L926" s="163"/>
      <c r="N926" s="167"/>
      <c r="O926" s="168"/>
    </row>
    <row r="927">
      <c r="B927" s="90"/>
      <c r="C927" s="90"/>
      <c r="E927" s="166"/>
      <c r="J927" s="163"/>
      <c r="L927" s="163"/>
      <c r="N927" s="167"/>
      <c r="O927" s="168"/>
    </row>
    <row r="928">
      <c r="B928" s="90"/>
      <c r="C928" s="90"/>
      <c r="E928" s="166"/>
      <c r="J928" s="163"/>
      <c r="L928" s="163"/>
      <c r="N928" s="167"/>
      <c r="O928" s="168"/>
    </row>
    <row r="929">
      <c r="B929" s="90"/>
      <c r="C929" s="90"/>
      <c r="E929" s="166"/>
      <c r="J929" s="163"/>
      <c r="L929" s="163"/>
      <c r="N929" s="167"/>
      <c r="O929" s="168"/>
    </row>
    <row r="930">
      <c r="B930" s="90"/>
      <c r="C930" s="90"/>
      <c r="E930" s="166"/>
      <c r="J930" s="163"/>
      <c r="L930" s="163"/>
      <c r="N930" s="167"/>
      <c r="O930" s="168"/>
    </row>
    <row r="931">
      <c r="B931" s="90"/>
      <c r="C931" s="90"/>
      <c r="E931" s="166"/>
      <c r="J931" s="163"/>
      <c r="L931" s="163"/>
      <c r="N931" s="167"/>
      <c r="O931" s="168"/>
    </row>
    <row r="932">
      <c r="B932" s="90"/>
      <c r="C932" s="90"/>
      <c r="E932" s="166"/>
      <c r="J932" s="163"/>
      <c r="L932" s="163"/>
      <c r="N932" s="167"/>
      <c r="O932" s="168"/>
    </row>
    <row r="933">
      <c r="B933" s="90"/>
      <c r="C933" s="90"/>
      <c r="E933" s="166"/>
      <c r="J933" s="163"/>
      <c r="L933" s="163"/>
      <c r="N933" s="167"/>
      <c r="O933" s="168"/>
    </row>
    <row r="934">
      <c r="B934" s="90"/>
      <c r="C934" s="90"/>
      <c r="E934" s="166"/>
      <c r="J934" s="163"/>
      <c r="L934" s="163"/>
      <c r="N934" s="167"/>
      <c r="O934" s="168"/>
    </row>
    <row r="935">
      <c r="B935" s="90"/>
      <c r="C935" s="90"/>
      <c r="E935" s="166"/>
      <c r="J935" s="163"/>
      <c r="L935" s="163"/>
      <c r="N935" s="167"/>
      <c r="O935" s="168"/>
    </row>
    <row r="936">
      <c r="B936" s="90"/>
      <c r="C936" s="90"/>
      <c r="E936" s="166"/>
      <c r="J936" s="163"/>
      <c r="L936" s="163"/>
      <c r="N936" s="167"/>
      <c r="O936" s="168"/>
    </row>
    <row r="937">
      <c r="B937" s="90"/>
      <c r="C937" s="90"/>
      <c r="E937" s="166"/>
      <c r="J937" s="163"/>
      <c r="L937" s="163"/>
      <c r="N937" s="167"/>
      <c r="O937" s="168"/>
    </row>
    <row r="938">
      <c r="B938" s="90"/>
      <c r="C938" s="90"/>
      <c r="E938" s="166"/>
      <c r="J938" s="163"/>
      <c r="L938" s="163"/>
      <c r="N938" s="167"/>
      <c r="O938" s="168"/>
    </row>
    <row r="939">
      <c r="B939" s="90"/>
      <c r="C939" s="90"/>
      <c r="E939" s="166"/>
      <c r="J939" s="163"/>
      <c r="L939" s="163"/>
      <c r="N939" s="167"/>
      <c r="O939" s="168"/>
    </row>
    <row r="940">
      <c r="B940" s="90"/>
      <c r="C940" s="90"/>
      <c r="E940" s="166"/>
      <c r="J940" s="163"/>
      <c r="L940" s="163"/>
      <c r="N940" s="167"/>
      <c r="O940" s="168"/>
    </row>
    <row r="941">
      <c r="B941" s="90"/>
      <c r="C941" s="90"/>
      <c r="E941" s="166"/>
      <c r="J941" s="163"/>
      <c r="L941" s="163"/>
      <c r="N941" s="167"/>
      <c r="O941" s="168"/>
    </row>
    <row r="942">
      <c r="B942" s="90"/>
      <c r="C942" s="90"/>
      <c r="E942" s="166"/>
      <c r="J942" s="163"/>
      <c r="L942" s="163"/>
      <c r="N942" s="167"/>
      <c r="O942" s="168"/>
    </row>
    <row r="943">
      <c r="B943" s="90"/>
      <c r="C943" s="90"/>
      <c r="E943" s="166"/>
      <c r="J943" s="163"/>
      <c r="L943" s="163"/>
      <c r="N943" s="167"/>
      <c r="O943" s="168"/>
    </row>
    <row r="944">
      <c r="B944" s="90"/>
      <c r="C944" s="90"/>
      <c r="E944" s="166"/>
      <c r="J944" s="163"/>
      <c r="L944" s="163"/>
      <c r="N944" s="167"/>
      <c r="O944" s="168"/>
    </row>
    <row r="945">
      <c r="B945" s="90"/>
      <c r="C945" s="90"/>
      <c r="E945" s="166"/>
      <c r="J945" s="163"/>
      <c r="L945" s="163"/>
      <c r="N945" s="167"/>
      <c r="O945" s="168"/>
    </row>
    <row r="946">
      <c r="B946" s="90"/>
      <c r="C946" s="90"/>
      <c r="E946" s="166"/>
      <c r="J946" s="163"/>
      <c r="L946" s="163"/>
      <c r="N946" s="167"/>
      <c r="O946" s="168"/>
    </row>
    <row r="947">
      <c r="B947" s="90"/>
      <c r="C947" s="90"/>
      <c r="E947" s="166"/>
      <c r="J947" s="163"/>
      <c r="L947" s="163"/>
      <c r="N947" s="167"/>
      <c r="O947" s="168"/>
    </row>
    <row r="948">
      <c r="B948" s="90"/>
      <c r="C948" s="90"/>
      <c r="E948" s="166"/>
      <c r="J948" s="163"/>
      <c r="L948" s="163"/>
      <c r="N948" s="167"/>
      <c r="O948" s="168"/>
    </row>
    <row r="949">
      <c r="B949" s="90"/>
      <c r="C949" s="90"/>
      <c r="E949" s="166"/>
      <c r="J949" s="163"/>
      <c r="L949" s="163"/>
      <c r="N949" s="167"/>
      <c r="O949" s="168"/>
    </row>
    <row r="950">
      <c r="B950" s="90"/>
      <c r="C950" s="90"/>
      <c r="E950" s="166"/>
      <c r="J950" s="163"/>
      <c r="L950" s="163"/>
      <c r="N950" s="167"/>
      <c r="O950" s="168"/>
    </row>
    <row r="951">
      <c r="B951" s="90"/>
      <c r="C951" s="90"/>
      <c r="E951" s="166"/>
      <c r="J951" s="163"/>
      <c r="L951" s="163"/>
      <c r="N951" s="167"/>
      <c r="O951" s="168"/>
    </row>
    <row r="952">
      <c r="B952" s="90"/>
      <c r="C952" s="90"/>
      <c r="E952" s="166"/>
      <c r="J952" s="163"/>
      <c r="L952" s="163"/>
      <c r="N952" s="167"/>
      <c r="O952" s="168"/>
    </row>
    <row r="953">
      <c r="B953" s="90"/>
      <c r="C953" s="90"/>
      <c r="E953" s="166"/>
      <c r="J953" s="163"/>
      <c r="L953" s="163"/>
      <c r="N953" s="167"/>
      <c r="O953" s="168"/>
    </row>
    <row r="954">
      <c r="B954" s="90"/>
      <c r="C954" s="90"/>
      <c r="E954" s="166"/>
      <c r="J954" s="163"/>
      <c r="L954" s="163"/>
      <c r="N954" s="167"/>
      <c r="O954" s="168"/>
    </row>
    <row r="955">
      <c r="B955" s="90"/>
      <c r="C955" s="90"/>
      <c r="E955" s="166"/>
      <c r="J955" s="163"/>
      <c r="L955" s="163"/>
      <c r="N955" s="167"/>
      <c r="O955" s="168"/>
    </row>
    <row r="956">
      <c r="B956" s="90"/>
      <c r="C956" s="90"/>
      <c r="E956" s="166"/>
      <c r="J956" s="163"/>
      <c r="L956" s="163"/>
      <c r="N956" s="167"/>
      <c r="O956" s="168"/>
    </row>
    <row r="957">
      <c r="B957" s="90"/>
      <c r="C957" s="90"/>
      <c r="E957" s="166"/>
      <c r="J957" s="163"/>
      <c r="L957" s="163"/>
      <c r="N957" s="167"/>
      <c r="O957" s="168"/>
    </row>
    <row r="958">
      <c r="B958" s="90"/>
      <c r="C958" s="90"/>
      <c r="E958" s="166"/>
      <c r="J958" s="163"/>
      <c r="L958" s="163"/>
      <c r="N958" s="167"/>
      <c r="O958" s="168"/>
    </row>
    <row r="959">
      <c r="B959" s="90"/>
      <c r="C959" s="90"/>
      <c r="E959" s="166"/>
      <c r="J959" s="163"/>
      <c r="L959" s="163"/>
      <c r="N959" s="167"/>
      <c r="O959" s="168"/>
    </row>
    <row r="960">
      <c r="B960" s="90"/>
      <c r="C960" s="90"/>
      <c r="E960" s="166"/>
      <c r="J960" s="163"/>
      <c r="L960" s="163"/>
      <c r="N960" s="167"/>
      <c r="O960" s="168"/>
    </row>
    <row r="961">
      <c r="B961" s="90"/>
      <c r="C961" s="90"/>
      <c r="E961" s="166"/>
      <c r="J961" s="163"/>
      <c r="L961" s="163"/>
      <c r="N961" s="167"/>
      <c r="O961" s="168"/>
    </row>
    <row r="962">
      <c r="B962" s="90"/>
      <c r="C962" s="90"/>
      <c r="E962" s="166"/>
      <c r="J962" s="163"/>
      <c r="L962" s="163"/>
      <c r="N962" s="167"/>
      <c r="O962" s="168"/>
    </row>
    <row r="963">
      <c r="B963" s="90"/>
      <c r="C963" s="90"/>
      <c r="E963" s="166"/>
      <c r="J963" s="163"/>
      <c r="L963" s="163"/>
      <c r="N963" s="167"/>
      <c r="O963" s="168"/>
    </row>
    <row r="964">
      <c r="B964" s="90"/>
      <c r="C964" s="90"/>
      <c r="E964" s="166"/>
      <c r="J964" s="163"/>
      <c r="L964" s="163"/>
      <c r="N964" s="167"/>
      <c r="O964" s="168"/>
    </row>
    <row r="965">
      <c r="B965" s="90"/>
      <c r="C965" s="90"/>
      <c r="E965" s="166"/>
      <c r="J965" s="163"/>
      <c r="L965" s="163"/>
      <c r="N965" s="167"/>
      <c r="O965" s="168"/>
    </row>
    <row r="966">
      <c r="B966" s="90"/>
      <c r="C966" s="90"/>
      <c r="E966" s="166"/>
      <c r="J966" s="163"/>
      <c r="L966" s="163"/>
      <c r="N966" s="167"/>
      <c r="O966" s="168"/>
    </row>
    <row r="967">
      <c r="B967" s="90"/>
      <c r="C967" s="90"/>
      <c r="E967" s="166"/>
      <c r="J967" s="163"/>
      <c r="L967" s="163"/>
      <c r="N967" s="167"/>
      <c r="O967" s="168"/>
    </row>
    <row r="968">
      <c r="B968" s="90"/>
      <c r="C968" s="90"/>
      <c r="E968" s="166"/>
      <c r="J968" s="163"/>
      <c r="L968" s="163"/>
      <c r="N968" s="167"/>
      <c r="O968" s="168"/>
    </row>
    <row r="969">
      <c r="B969" s="90"/>
      <c r="C969" s="90"/>
      <c r="E969" s="166"/>
      <c r="J969" s="163"/>
      <c r="L969" s="163"/>
      <c r="N969" s="167"/>
      <c r="O969" s="168"/>
    </row>
    <row r="970">
      <c r="B970" s="90"/>
      <c r="C970" s="90"/>
      <c r="E970" s="166"/>
      <c r="J970" s="163"/>
      <c r="L970" s="163"/>
      <c r="N970" s="167"/>
      <c r="O970" s="168"/>
    </row>
    <row r="971">
      <c r="B971" s="90"/>
      <c r="C971" s="90"/>
      <c r="E971" s="166"/>
      <c r="J971" s="163"/>
      <c r="L971" s="163"/>
      <c r="N971" s="167"/>
      <c r="O971" s="168"/>
    </row>
    <row r="972">
      <c r="B972" s="90"/>
      <c r="C972" s="90"/>
      <c r="E972" s="166"/>
      <c r="J972" s="163"/>
      <c r="L972" s="163"/>
      <c r="N972" s="167"/>
      <c r="O972" s="168"/>
    </row>
    <row r="973">
      <c r="B973" s="90"/>
      <c r="C973" s="90"/>
      <c r="E973" s="166"/>
      <c r="J973" s="163"/>
      <c r="L973" s="163"/>
      <c r="N973" s="167"/>
      <c r="O973" s="168"/>
    </row>
    <row r="974">
      <c r="B974" s="90"/>
      <c r="C974" s="90"/>
      <c r="E974" s="166"/>
      <c r="J974" s="163"/>
      <c r="L974" s="163"/>
      <c r="N974" s="167"/>
      <c r="O974" s="168"/>
    </row>
    <row r="975">
      <c r="B975" s="90"/>
      <c r="C975" s="90"/>
      <c r="E975" s="166"/>
      <c r="J975" s="163"/>
      <c r="L975" s="163"/>
      <c r="N975" s="167"/>
      <c r="O975" s="168"/>
    </row>
    <row r="976">
      <c r="B976" s="90"/>
      <c r="C976" s="90"/>
      <c r="E976" s="166"/>
      <c r="J976" s="163"/>
      <c r="L976" s="163"/>
      <c r="N976" s="167"/>
      <c r="O976" s="168"/>
    </row>
    <row r="977">
      <c r="B977" s="90"/>
      <c r="C977" s="90"/>
      <c r="E977" s="166"/>
      <c r="J977" s="163"/>
      <c r="L977" s="163"/>
      <c r="N977" s="167"/>
      <c r="O977" s="168"/>
    </row>
    <row r="978">
      <c r="B978" s="90"/>
      <c r="C978" s="90"/>
      <c r="E978" s="166"/>
      <c r="J978" s="163"/>
      <c r="L978" s="163"/>
      <c r="N978" s="167"/>
      <c r="O978" s="168"/>
    </row>
    <row r="979">
      <c r="B979" s="90"/>
      <c r="C979" s="90"/>
      <c r="E979" s="166"/>
      <c r="J979" s="163"/>
      <c r="L979" s="163"/>
      <c r="N979" s="167"/>
      <c r="O979" s="168"/>
    </row>
    <row r="980">
      <c r="B980" s="90"/>
      <c r="C980" s="90"/>
      <c r="E980" s="166"/>
      <c r="J980" s="163"/>
      <c r="L980" s="163"/>
      <c r="N980" s="167"/>
      <c r="O980" s="168"/>
    </row>
    <row r="981">
      <c r="B981" s="90"/>
      <c r="C981" s="90"/>
      <c r="E981" s="166"/>
      <c r="J981" s="163"/>
      <c r="L981" s="163"/>
      <c r="N981" s="167"/>
      <c r="O981" s="168"/>
    </row>
    <row r="982">
      <c r="B982" s="90"/>
      <c r="C982" s="90"/>
      <c r="E982" s="166"/>
      <c r="J982" s="163"/>
      <c r="L982" s="163"/>
      <c r="N982" s="167"/>
      <c r="O982" s="168"/>
    </row>
    <row r="983">
      <c r="B983" s="90"/>
      <c r="C983" s="90"/>
      <c r="E983" s="166"/>
      <c r="J983" s="163"/>
      <c r="L983" s="163"/>
      <c r="N983" s="167"/>
      <c r="O983" s="168"/>
    </row>
    <row r="984">
      <c r="B984" s="90"/>
      <c r="C984" s="90"/>
      <c r="E984" s="166"/>
      <c r="J984" s="163"/>
      <c r="L984" s="163"/>
      <c r="N984" s="167"/>
      <c r="O984" s="168"/>
    </row>
    <row r="985">
      <c r="B985" s="90"/>
      <c r="C985" s="90"/>
      <c r="E985" s="166"/>
      <c r="J985" s="163"/>
      <c r="L985" s="163"/>
      <c r="N985" s="167"/>
      <c r="O985" s="168"/>
    </row>
    <row r="986">
      <c r="B986" s="90"/>
      <c r="C986" s="90"/>
      <c r="E986" s="166"/>
      <c r="J986" s="163"/>
      <c r="L986" s="163"/>
      <c r="N986" s="167"/>
      <c r="O986" s="168"/>
    </row>
    <row r="987">
      <c r="B987" s="90"/>
      <c r="C987" s="90"/>
      <c r="E987" s="166"/>
      <c r="J987" s="163"/>
      <c r="L987" s="163"/>
      <c r="N987" s="167"/>
      <c r="O987" s="168"/>
    </row>
    <row r="988">
      <c r="B988" s="90"/>
      <c r="C988" s="90"/>
      <c r="E988" s="166"/>
      <c r="J988" s="163"/>
      <c r="L988" s="163"/>
      <c r="N988" s="167"/>
      <c r="O988" s="168"/>
    </row>
    <row r="989">
      <c r="B989" s="90"/>
      <c r="C989" s="90"/>
      <c r="E989" s="166"/>
      <c r="J989" s="163"/>
      <c r="L989" s="163"/>
      <c r="N989" s="167"/>
      <c r="O989" s="168"/>
    </row>
    <row r="990">
      <c r="B990" s="90"/>
      <c r="C990" s="90"/>
      <c r="E990" s="166"/>
      <c r="J990" s="163"/>
      <c r="L990" s="163"/>
      <c r="N990" s="167"/>
      <c r="O990" s="168"/>
    </row>
    <row r="991">
      <c r="B991" s="90"/>
      <c r="C991" s="90"/>
      <c r="E991" s="166"/>
      <c r="J991" s="163"/>
      <c r="L991" s="163"/>
      <c r="N991" s="167"/>
      <c r="O991" s="168"/>
    </row>
    <row r="992">
      <c r="B992" s="90"/>
      <c r="C992" s="90"/>
      <c r="E992" s="166"/>
      <c r="J992" s="163"/>
      <c r="L992" s="163"/>
      <c r="N992" s="167"/>
      <c r="O992" s="168"/>
    </row>
    <row r="993">
      <c r="B993" s="90"/>
      <c r="C993" s="90"/>
      <c r="E993" s="166"/>
      <c r="J993" s="163"/>
      <c r="L993" s="163"/>
      <c r="N993" s="167"/>
      <c r="O993" s="168"/>
    </row>
    <row r="994">
      <c r="B994" s="90"/>
      <c r="C994" s="90"/>
      <c r="E994" s="166"/>
      <c r="J994" s="163"/>
      <c r="L994" s="163"/>
      <c r="N994" s="167"/>
      <c r="O994" s="168"/>
    </row>
    <row r="995">
      <c r="B995" s="90"/>
      <c r="C995" s="90"/>
      <c r="E995" s="166"/>
      <c r="J995" s="163"/>
      <c r="L995" s="163"/>
      <c r="N995" s="167"/>
      <c r="O995" s="168"/>
    </row>
    <row r="996">
      <c r="B996" s="90"/>
      <c r="C996" s="90"/>
      <c r="E996" s="166"/>
      <c r="J996" s="163"/>
      <c r="L996" s="163"/>
      <c r="N996" s="167"/>
      <c r="O996" s="168"/>
    </row>
    <row r="997">
      <c r="B997" s="90"/>
      <c r="C997" s="90"/>
      <c r="E997" s="166"/>
      <c r="J997" s="163"/>
      <c r="L997" s="163"/>
      <c r="N997" s="167"/>
      <c r="O997" s="168"/>
    </row>
    <row r="998">
      <c r="B998" s="90"/>
      <c r="C998" s="90"/>
      <c r="E998" s="166"/>
      <c r="J998" s="163"/>
      <c r="L998" s="163"/>
      <c r="N998" s="167"/>
      <c r="O998" s="168"/>
    </row>
    <row r="999">
      <c r="B999" s="90"/>
      <c r="C999" s="90"/>
      <c r="E999" s="166"/>
      <c r="J999" s="163"/>
      <c r="L999" s="163"/>
      <c r="N999" s="167"/>
      <c r="O999" s="168"/>
    </row>
    <row r="1000">
      <c r="B1000" s="90"/>
      <c r="C1000" s="90"/>
      <c r="E1000" s="166"/>
      <c r="J1000" s="163"/>
      <c r="L1000" s="163"/>
      <c r="N1000" s="167"/>
      <c r="O1000" s="168"/>
    </row>
    <row r="1001">
      <c r="B1001" s="90"/>
      <c r="C1001" s="90"/>
      <c r="E1001" s="166"/>
      <c r="J1001" s="163"/>
      <c r="L1001" s="163"/>
      <c r="N1001" s="167"/>
      <c r="O1001" s="168"/>
    </row>
    <row r="1002">
      <c r="B1002" s="90"/>
      <c r="C1002" s="90"/>
      <c r="E1002" s="166"/>
      <c r="J1002" s="163"/>
      <c r="L1002" s="163"/>
      <c r="N1002" s="167"/>
      <c r="O1002" s="168"/>
    </row>
    <row r="1003">
      <c r="B1003" s="90"/>
      <c r="C1003" s="90"/>
      <c r="E1003" s="166"/>
      <c r="J1003" s="163"/>
      <c r="L1003" s="163"/>
      <c r="N1003" s="167"/>
      <c r="O1003" s="168"/>
    </row>
    <row r="1004">
      <c r="B1004" s="90"/>
      <c r="C1004" s="90"/>
      <c r="E1004" s="166"/>
      <c r="J1004" s="163"/>
      <c r="L1004" s="163"/>
      <c r="N1004" s="167"/>
      <c r="O1004" s="168"/>
    </row>
    <row r="1005">
      <c r="B1005" s="90"/>
      <c r="C1005" s="90"/>
      <c r="E1005" s="166"/>
      <c r="J1005" s="163"/>
      <c r="L1005" s="163"/>
      <c r="N1005" s="167"/>
      <c r="O1005" s="168"/>
    </row>
    <row r="1006">
      <c r="B1006" s="90"/>
      <c r="C1006" s="90"/>
      <c r="E1006" s="166"/>
      <c r="J1006" s="163"/>
      <c r="L1006" s="163"/>
      <c r="N1006" s="167"/>
      <c r="O1006" s="168"/>
    </row>
    <row r="1007">
      <c r="B1007" s="90"/>
      <c r="C1007" s="90"/>
      <c r="E1007" s="166"/>
      <c r="J1007" s="163"/>
      <c r="L1007" s="163"/>
      <c r="N1007" s="167"/>
      <c r="O1007" s="168"/>
    </row>
    <row r="1008">
      <c r="B1008" s="90"/>
      <c r="C1008" s="90"/>
      <c r="E1008" s="166"/>
      <c r="J1008" s="163"/>
      <c r="L1008" s="163"/>
      <c r="N1008" s="167"/>
      <c r="O1008" s="168"/>
    </row>
    <row r="1009">
      <c r="B1009" s="90"/>
      <c r="C1009" s="90"/>
      <c r="E1009" s="166"/>
      <c r="J1009" s="163"/>
      <c r="L1009" s="163"/>
      <c r="N1009" s="167"/>
      <c r="O1009" s="168"/>
    </row>
    <row r="1010">
      <c r="B1010" s="90"/>
      <c r="C1010" s="90"/>
      <c r="E1010" s="166"/>
      <c r="J1010" s="163"/>
      <c r="L1010" s="163"/>
      <c r="N1010" s="167"/>
      <c r="O1010" s="168"/>
    </row>
    <row r="1011">
      <c r="B1011" s="90"/>
      <c r="C1011" s="90"/>
      <c r="E1011" s="166"/>
      <c r="J1011" s="163"/>
      <c r="L1011" s="163"/>
      <c r="N1011" s="167"/>
      <c r="O1011" s="168"/>
    </row>
    <row r="1012">
      <c r="B1012" s="90"/>
      <c r="C1012" s="90"/>
      <c r="E1012" s="166"/>
      <c r="J1012" s="163"/>
      <c r="L1012" s="163"/>
      <c r="N1012" s="167"/>
      <c r="O1012" s="168"/>
    </row>
    <row r="1013">
      <c r="B1013" s="90"/>
      <c r="C1013" s="90"/>
      <c r="E1013" s="166"/>
      <c r="J1013" s="163"/>
      <c r="L1013" s="163"/>
      <c r="N1013" s="167"/>
      <c r="O1013" s="168"/>
    </row>
    <row r="1014">
      <c r="B1014" s="90"/>
      <c r="C1014" s="90"/>
      <c r="E1014" s="166"/>
      <c r="J1014" s="163"/>
      <c r="L1014" s="163"/>
      <c r="N1014" s="167"/>
      <c r="O1014" s="168"/>
    </row>
    <row r="1015">
      <c r="B1015" s="90"/>
      <c r="C1015" s="90"/>
      <c r="E1015" s="166"/>
      <c r="J1015" s="163"/>
      <c r="L1015" s="163"/>
      <c r="N1015" s="167"/>
      <c r="O1015" s="168"/>
    </row>
    <row r="1016">
      <c r="B1016" s="90"/>
      <c r="C1016" s="90"/>
      <c r="E1016" s="166"/>
      <c r="J1016" s="163"/>
      <c r="L1016" s="163"/>
      <c r="N1016" s="167"/>
      <c r="O1016" s="168"/>
    </row>
    <row r="1017">
      <c r="B1017" s="90"/>
      <c r="C1017" s="90"/>
      <c r="E1017" s="166"/>
      <c r="J1017" s="163"/>
      <c r="L1017" s="163"/>
      <c r="N1017" s="167"/>
      <c r="O1017" s="168"/>
    </row>
    <row r="1018">
      <c r="B1018" s="90"/>
      <c r="C1018" s="90"/>
      <c r="E1018" s="166"/>
      <c r="J1018" s="163"/>
      <c r="L1018" s="163"/>
      <c r="N1018" s="167"/>
      <c r="O1018" s="168"/>
    </row>
    <row r="1019">
      <c r="B1019" s="90"/>
      <c r="C1019" s="90"/>
      <c r="E1019" s="166"/>
      <c r="J1019" s="163"/>
      <c r="L1019" s="163"/>
      <c r="N1019" s="167"/>
      <c r="O1019" s="168"/>
    </row>
    <row r="1020">
      <c r="B1020" s="90"/>
      <c r="C1020" s="90"/>
      <c r="E1020" s="166"/>
      <c r="J1020" s="163"/>
      <c r="L1020" s="163"/>
      <c r="N1020" s="167"/>
      <c r="O1020" s="168"/>
    </row>
    <row r="1021">
      <c r="B1021" s="90"/>
      <c r="C1021" s="90"/>
      <c r="E1021" s="166"/>
      <c r="J1021" s="163"/>
      <c r="L1021" s="163"/>
      <c r="N1021" s="167"/>
      <c r="O1021" s="168"/>
    </row>
    <row r="1022">
      <c r="B1022" s="90"/>
      <c r="C1022" s="90"/>
      <c r="E1022" s="166"/>
      <c r="J1022" s="163"/>
      <c r="L1022" s="163"/>
      <c r="N1022" s="167"/>
      <c r="O1022" s="168"/>
    </row>
    <row r="1023">
      <c r="B1023" s="90"/>
      <c r="C1023" s="90"/>
      <c r="E1023" s="166"/>
      <c r="J1023" s="163"/>
      <c r="L1023" s="163"/>
      <c r="N1023" s="167"/>
      <c r="O1023" s="168"/>
    </row>
    <row r="1024">
      <c r="B1024" s="90"/>
      <c r="C1024" s="90"/>
      <c r="E1024" s="166"/>
      <c r="J1024" s="163"/>
      <c r="L1024" s="163"/>
      <c r="N1024" s="167"/>
      <c r="O1024" s="168"/>
    </row>
    <row r="1025">
      <c r="B1025" s="90"/>
      <c r="C1025" s="90"/>
      <c r="E1025" s="166"/>
      <c r="J1025" s="163"/>
      <c r="L1025" s="163"/>
      <c r="N1025" s="167"/>
      <c r="O1025" s="168"/>
    </row>
    <row r="1026">
      <c r="B1026" s="90"/>
      <c r="C1026" s="90"/>
      <c r="E1026" s="166"/>
      <c r="J1026" s="163"/>
      <c r="L1026" s="163"/>
      <c r="N1026" s="167"/>
      <c r="O1026" s="168"/>
    </row>
    <row r="1027">
      <c r="B1027" s="90"/>
      <c r="C1027" s="90"/>
      <c r="E1027" s="166"/>
      <c r="J1027" s="163"/>
      <c r="L1027" s="163"/>
      <c r="N1027" s="167"/>
      <c r="O1027" s="168"/>
    </row>
    <row r="1028">
      <c r="B1028" s="90"/>
      <c r="C1028" s="90"/>
      <c r="E1028" s="166"/>
      <c r="J1028" s="163"/>
      <c r="L1028" s="163"/>
      <c r="N1028" s="167"/>
      <c r="O1028" s="168"/>
    </row>
    <row r="1029">
      <c r="B1029" s="90"/>
      <c r="C1029" s="90"/>
      <c r="E1029" s="166"/>
      <c r="J1029" s="163"/>
      <c r="L1029" s="169"/>
      <c r="M1029" s="170"/>
      <c r="N1029" s="167"/>
      <c r="O1029" s="168"/>
    </row>
  </sheetData>
  <mergeCells count="8">
    <mergeCell ref="B1:C1"/>
    <mergeCell ref="D1:E1"/>
    <mergeCell ref="F1:G1"/>
    <mergeCell ref="H1:I1"/>
    <mergeCell ref="J1:K1"/>
    <mergeCell ref="L1:M1"/>
    <mergeCell ref="N1:O1"/>
    <mergeCell ref="P1:Q1"/>
  </mergeCells>
  <conditionalFormatting sqref="B4 C4:C5 D4 E4:E5 F4 G4:G5 H4 I4:I5 J4 K4:K5 L4 M4:M5 N4 O4:O5 P4 Q4:Q5 R4:U4 X5">
    <cfRule type="cellIs" dxfId="2" priority="1" operator="lessThan">
      <formula>0</formula>
    </cfRule>
  </conditionalFormatting>
  <conditionalFormatting sqref="B4 C4:C5 D4 E4:E5 F4 G4:G5 H4 I4:I5 J4 K4:K5 L4 M4:M5 N4 O4:O5 P4 Q4:Q5 R4:U4 X5">
    <cfRule type="cellIs" dxfId="3" priority="2" operator="greaterThan">
      <formula>0</formula>
    </cfRule>
  </conditionalFormatting>
  <conditionalFormatting sqref="E14:E59 C15:C17 G15:G17 I15:I17 K15:K17 M15:M17 O15:O17 Q15:Q17 C21 G21 I21 K21 M21 O21 Q21 C30 G30 I30 K30 M30 O30 Q30 C32 G32 I32 K32 M32 O32 Q32 C42:C45 G42:G45 I42:I45 K42:K45 M42:M45 O42:O45 Q42:Q45">
    <cfRule type="cellIs" dxfId="4" priority="3" operator="greaterThan">
      <formula>D14:D59</formula>
    </cfRule>
  </conditionalFormatting>
  <conditionalFormatting sqref="C14:C59 G14:G75 I14:I75 K14:K75 M14:M75 O14:O75 Q14:Q75 E21 E23 E28:E30 E32:E33 E35 E42:E46 C64">
    <cfRule type="cellIs" dxfId="4" priority="4" operator="greaterThan">
      <formula>B14:B59</formula>
    </cfRule>
  </conditionalFormatting>
  <conditionalFormatting sqref="V6">
    <cfRule type="notContainsBlanks" dxfId="5" priority="5">
      <formula>LEN(TRIM(V6))&gt;0</formula>
    </cfRule>
  </conditionalFormatting>
  <conditionalFormatting sqref="Q10">
    <cfRule type="notContainsBlanks" dxfId="5" priority="6">
      <formula>LEN(TRIM(Q10))&gt;0</formula>
    </cfRule>
  </conditionalFormatting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1.22" defaultRowHeight="15.75"/>
  <cols>
    <col customWidth="1" min="1" max="1" width="15.33"/>
    <col customWidth="1" min="2" max="21" width="11.44"/>
  </cols>
  <sheetData>
    <row r="1" ht="24.75" customHeight="1">
      <c r="A1" s="73">
        <v>2024.0</v>
      </c>
      <c r="B1" s="74" t="s">
        <v>71</v>
      </c>
      <c r="C1" s="75"/>
      <c r="D1" s="76" t="s">
        <v>72</v>
      </c>
      <c r="E1" s="75"/>
      <c r="F1" s="76" t="s">
        <v>73</v>
      </c>
      <c r="G1" s="75"/>
      <c r="H1" s="76" t="s">
        <v>74</v>
      </c>
      <c r="I1" s="75"/>
      <c r="J1" s="76" t="s">
        <v>75</v>
      </c>
      <c r="K1" s="75"/>
      <c r="L1" s="77" t="s">
        <v>76</v>
      </c>
      <c r="M1" s="78"/>
      <c r="N1" s="79" t="s">
        <v>77</v>
      </c>
      <c r="O1" s="80"/>
      <c r="P1" s="81" t="s">
        <v>78</v>
      </c>
      <c r="Q1" s="75"/>
      <c r="R1" s="82" t="s">
        <v>79</v>
      </c>
      <c r="S1" s="82" t="s">
        <v>80</v>
      </c>
      <c r="T1" s="82" t="s">
        <v>81</v>
      </c>
      <c r="U1" s="82" t="s">
        <v>82</v>
      </c>
      <c r="W1" s="83" t="s">
        <v>83</v>
      </c>
      <c r="X1" s="84" t="s">
        <v>84</v>
      </c>
      <c r="Y1" s="85"/>
      <c r="Z1" s="85"/>
      <c r="AA1" s="85"/>
      <c r="AB1" s="85"/>
      <c r="AC1" s="85"/>
      <c r="AD1" s="85"/>
    </row>
    <row r="2" ht="24.0" customHeight="1">
      <c r="A2" s="73"/>
      <c r="B2" s="76" t="s">
        <v>85</v>
      </c>
      <c r="C2" s="86" t="s">
        <v>86</v>
      </c>
      <c r="D2" s="76" t="s">
        <v>85</v>
      </c>
      <c r="E2" s="86" t="s">
        <v>86</v>
      </c>
      <c r="F2" s="81" t="s">
        <v>85</v>
      </c>
      <c r="G2" s="87" t="s">
        <v>86</v>
      </c>
      <c r="H2" s="76" t="s">
        <v>85</v>
      </c>
      <c r="I2" s="87" t="s">
        <v>86</v>
      </c>
      <c r="J2" s="76" t="s">
        <v>85</v>
      </c>
      <c r="K2" s="87" t="s">
        <v>86</v>
      </c>
      <c r="L2" s="76" t="s">
        <v>85</v>
      </c>
      <c r="M2" s="87" t="s">
        <v>86</v>
      </c>
      <c r="N2" s="79" t="s">
        <v>85</v>
      </c>
      <c r="O2" s="88" t="s">
        <v>86</v>
      </c>
      <c r="P2" s="81" t="s">
        <v>85</v>
      </c>
      <c r="Q2" s="86" t="s">
        <v>86</v>
      </c>
      <c r="R2" s="81"/>
      <c r="S2" s="81"/>
      <c r="T2" s="81"/>
      <c r="U2" s="81"/>
      <c r="W2" s="83"/>
      <c r="X2" s="89"/>
      <c r="Y2" s="13"/>
      <c r="Z2" s="13"/>
      <c r="AA2" s="13"/>
      <c r="AB2" s="13"/>
      <c r="AC2" s="13"/>
      <c r="AD2" s="13"/>
    </row>
    <row r="3">
      <c r="A3" s="52"/>
      <c r="B3" s="90"/>
      <c r="C3" s="90"/>
      <c r="D3" s="90"/>
      <c r="E3" s="90"/>
      <c r="F3" s="90"/>
      <c r="G3" s="90"/>
      <c r="H3" s="90"/>
      <c r="I3" s="90"/>
      <c r="J3" s="91"/>
      <c r="K3" s="90"/>
      <c r="L3" s="91"/>
      <c r="M3" s="90"/>
      <c r="N3" s="92"/>
      <c r="O3" s="93"/>
      <c r="P3" s="90"/>
      <c r="Q3" s="90"/>
      <c r="R3" s="90"/>
      <c r="S3" s="90"/>
      <c r="T3" s="90"/>
      <c r="U3" s="90"/>
      <c r="W3" s="94"/>
      <c r="X3" s="95"/>
      <c r="Y3" s="96"/>
      <c r="Z3" s="96"/>
      <c r="AA3" s="96"/>
      <c r="AB3" s="96"/>
      <c r="AC3" s="96"/>
      <c r="AD3" s="96"/>
    </row>
    <row r="4">
      <c r="A4" s="52" t="s">
        <v>87</v>
      </c>
      <c r="B4" s="97" t="str">
        <f t="shared" ref="B4:U4" si="1">B7-(SUM(B14,B21,B28,B36,B41,B48)
)</f>
        <v>#REF!</v>
      </c>
      <c r="C4" s="98">
        <f t="shared" si="1"/>
        <v>2576.13</v>
      </c>
      <c r="D4" s="98" t="str">
        <f t="shared" si="1"/>
        <v>#REF!</v>
      </c>
      <c r="E4" s="98">
        <f t="shared" si="1"/>
        <v>485.27</v>
      </c>
      <c r="F4" s="98" t="str">
        <f t="shared" si="1"/>
        <v>#REF!</v>
      </c>
      <c r="G4" s="98">
        <f t="shared" si="1"/>
        <v>-3192.59</v>
      </c>
      <c r="H4" s="98" t="str">
        <f t="shared" si="1"/>
        <v>#REF!</v>
      </c>
      <c r="I4" s="91">
        <f t="shared" si="1"/>
        <v>-23.66</v>
      </c>
      <c r="J4" s="98" t="str">
        <f t="shared" si="1"/>
        <v>#REF!</v>
      </c>
      <c r="K4" s="91">
        <f t="shared" si="1"/>
        <v>-1550.75</v>
      </c>
      <c r="L4" s="98" t="str">
        <f t="shared" si="1"/>
        <v>#REF!</v>
      </c>
      <c r="M4" s="91">
        <f t="shared" si="1"/>
        <v>1507.66</v>
      </c>
      <c r="N4" s="131" t="str">
        <f t="shared" si="1"/>
        <v>#REF!</v>
      </c>
      <c r="O4" s="132">
        <f t="shared" si="1"/>
        <v>946.26</v>
      </c>
      <c r="P4" s="97" t="str">
        <f t="shared" si="1"/>
        <v>#REF!</v>
      </c>
      <c r="Q4" s="98">
        <f t="shared" si="1"/>
        <v>-1456.28</v>
      </c>
      <c r="R4" s="98" t="str">
        <f t="shared" si="1"/>
        <v>#REF!</v>
      </c>
      <c r="S4" s="98" t="str">
        <f t="shared" si="1"/>
        <v>#REF!</v>
      </c>
      <c r="T4" s="98" t="str">
        <f t="shared" si="1"/>
        <v>#REF!</v>
      </c>
      <c r="U4" s="91" t="str">
        <f t="shared" si="1"/>
        <v>#REF!</v>
      </c>
      <c r="W4" s="94" t="str">
        <f>W7-(SUM(W14,W21,W28,W36,W41,W48)
)</f>
        <v>#REF!</v>
      </c>
      <c r="X4" s="99" t="str">
        <f>SUM(E4,G4,I4,B4)</f>
        <v>#REF!</v>
      </c>
      <c r="Y4" s="96"/>
      <c r="Z4" s="96"/>
      <c r="AA4" s="96"/>
      <c r="AB4" s="96"/>
      <c r="AC4" s="96"/>
      <c r="AD4" s="96"/>
    </row>
    <row r="5">
      <c r="A5" s="52" t="s">
        <v>88</v>
      </c>
      <c r="B5" s="100"/>
      <c r="C5" s="101" t="str">
        <f>C4-B4</f>
        <v>#REF!</v>
      </c>
      <c r="D5" s="101"/>
      <c r="E5" s="101" t="str">
        <f>E4-D4</f>
        <v>#REF!</v>
      </c>
      <c r="F5" s="101"/>
      <c r="G5" s="101" t="str">
        <f>G4-F4</f>
        <v>#REF!</v>
      </c>
      <c r="H5" s="101"/>
      <c r="I5" s="103" t="str">
        <f>I4-H4</f>
        <v>#REF!</v>
      </c>
      <c r="J5" s="101"/>
      <c r="K5" s="103" t="str">
        <f>K4-J4</f>
        <v>#REF!</v>
      </c>
      <c r="L5" s="101"/>
      <c r="M5" s="103" t="str">
        <f>M4-L4</f>
        <v>#REF!</v>
      </c>
      <c r="N5" s="102"/>
      <c r="O5" s="105" t="str">
        <f>O4-N4</f>
        <v>#REF!</v>
      </c>
      <c r="P5" s="100"/>
      <c r="Q5" s="101" t="str">
        <f>Q4-P4</f>
        <v>#REF!</v>
      </c>
      <c r="R5" s="101"/>
      <c r="S5" s="101"/>
      <c r="T5" s="101"/>
      <c r="U5" s="103"/>
      <c r="W5" s="104" t="str">
        <f>sum(W4-sum(G5,E5))</f>
        <v>#REF!</v>
      </c>
      <c r="X5" s="106"/>
    </row>
    <row r="6">
      <c r="A6" s="52"/>
      <c r="B6" s="100"/>
      <c r="C6" s="101"/>
      <c r="D6" s="101"/>
      <c r="E6" s="101"/>
      <c r="F6" s="101"/>
      <c r="G6" s="101"/>
      <c r="H6" s="101"/>
      <c r="I6" s="103"/>
      <c r="J6" s="101"/>
      <c r="K6" s="103"/>
      <c r="L6" s="101"/>
      <c r="M6" s="103"/>
      <c r="N6" s="102"/>
      <c r="O6" s="105"/>
      <c r="P6" s="100"/>
      <c r="Q6" s="101"/>
      <c r="R6" s="101"/>
      <c r="S6" s="101"/>
      <c r="T6" s="101"/>
      <c r="U6" s="103"/>
      <c r="W6" s="104"/>
      <c r="X6" s="106"/>
    </row>
    <row r="7">
      <c r="A7" s="107" t="s">
        <v>89</v>
      </c>
      <c r="B7" s="108">
        <f t="shared" ref="B7:I7" si="2">SUM(B8:B11)</f>
        <v>7673.983333</v>
      </c>
      <c r="C7" s="109">
        <f t="shared" si="2"/>
        <v>7668.403333</v>
      </c>
      <c r="D7" s="109">
        <f t="shared" si="2"/>
        <v>6603.013333</v>
      </c>
      <c r="E7" s="109">
        <f t="shared" si="2"/>
        <v>7193.9</v>
      </c>
      <c r="F7" s="109">
        <f t="shared" si="2"/>
        <v>6603.013333</v>
      </c>
      <c r="G7" s="109">
        <f t="shared" si="2"/>
        <v>6242.38</v>
      </c>
      <c r="H7" s="109">
        <f t="shared" si="2"/>
        <v>7673.983333</v>
      </c>
      <c r="I7" s="171">
        <f t="shared" si="2"/>
        <v>7392.38</v>
      </c>
      <c r="J7" s="109">
        <f t="shared" ref="J7:U7" si="3">SUM(J8:J12)</f>
        <v>7360.566667</v>
      </c>
      <c r="K7" s="171">
        <f t="shared" si="3"/>
        <v>6242.38</v>
      </c>
      <c r="L7" s="109">
        <f t="shared" si="3"/>
        <v>8316.066667</v>
      </c>
      <c r="M7" s="171">
        <f t="shared" si="3"/>
        <v>8572.17</v>
      </c>
      <c r="N7" s="110">
        <f t="shared" si="3"/>
        <v>9387.036667</v>
      </c>
      <c r="O7" s="172">
        <f t="shared" si="3"/>
        <v>8907.3</v>
      </c>
      <c r="P7" s="108">
        <f t="shared" si="3"/>
        <v>8316.066667</v>
      </c>
      <c r="Q7" s="109">
        <f t="shared" si="3"/>
        <v>0</v>
      </c>
      <c r="R7" s="109">
        <f t="shared" si="3"/>
        <v>8316.066667</v>
      </c>
      <c r="S7" s="109">
        <f t="shared" si="3"/>
        <v>9387.036667</v>
      </c>
      <c r="T7" s="109">
        <f t="shared" si="3"/>
        <v>8316.066667</v>
      </c>
      <c r="U7" s="109">
        <f t="shared" si="3"/>
        <v>8316.066667</v>
      </c>
      <c r="W7" s="111">
        <f>SUM(W8:W11)</f>
        <v>89580.46667</v>
      </c>
      <c r="X7" s="112">
        <f t="shared" ref="X7:X8" si="4">SUM(E7,G7,I7,K7,M7,O7,Q7)</f>
        <v>44550.51</v>
      </c>
      <c r="Y7" s="55"/>
      <c r="Z7" s="55"/>
      <c r="AA7" s="55"/>
      <c r="AB7" s="55"/>
      <c r="AC7" s="55"/>
      <c r="AD7" s="55"/>
    </row>
    <row r="8">
      <c r="A8" s="113" t="s">
        <v>3</v>
      </c>
      <c r="B8" s="114">
        <f>Mensuel!$C$5</f>
        <v>4123.253333</v>
      </c>
      <c r="C8" s="115">
        <v>4177.333333333333</v>
      </c>
      <c r="D8" s="116">
        <f>Mensuel!$C$5</f>
        <v>4123.253333</v>
      </c>
      <c r="E8" s="115">
        <f>951.52*5</f>
        <v>4757.6</v>
      </c>
      <c r="F8" s="116">
        <f>Mensuel!$C$5</f>
        <v>4123.253333</v>
      </c>
      <c r="G8" s="115">
        <f>951.52*4</f>
        <v>3806.08</v>
      </c>
      <c r="H8" s="116">
        <f>Mensuel!$C$5</f>
        <v>4123.253333</v>
      </c>
      <c r="I8" s="117">
        <f>4*951.52</f>
        <v>3806.08</v>
      </c>
      <c r="J8" s="116">
        <f>Mensuel!$C$5</f>
        <v>4123.253333</v>
      </c>
      <c r="K8" s="117">
        <f>4*951.52</f>
        <v>3806.08</v>
      </c>
      <c r="L8" s="116">
        <f>Mensuel!$C$5</f>
        <v>4123.253333</v>
      </c>
      <c r="M8" s="117">
        <f>4*951.52</f>
        <v>3806.08</v>
      </c>
      <c r="N8" s="118">
        <f>Mensuel!$C$5</f>
        <v>4123.253333</v>
      </c>
      <c r="O8" s="119">
        <v>3806.08</v>
      </c>
      <c r="P8" s="114">
        <f>Mensuel!$C$5</f>
        <v>4123.253333</v>
      </c>
      <c r="Q8" s="115"/>
      <c r="R8" s="116">
        <f>Mensuel!$C$5</f>
        <v>4123.253333</v>
      </c>
      <c r="S8" s="116">
        <f>Mensuel!$C$5</f>
        <v>4123.253333</v>
      </c>
      <c r="T8" s="116">
        <f>Mensuel!$C$5</f>
        <v>4123.253333</v>
      </c>
      <c r="U8" s="120">
        <f>Mensuel!$C$5</f>
        <v>4123.253333</v>
      </c>
      <c r="W8" s="121">
        <f t="shared" ref="W8:W11" si="5">SUM(B8,D8,F8,H8,J8,L8,N8,P8,R8,S8,T8,U8)</f>
        <v>49479.04</v>
      </c>
      <c r="X8" s="173">
        <f t="shared" si="4"/>
        <v>23788</v>
      </c>
      <c r="Y8" s="55"/>
      <c r="Z8" s="55"/>
      <c r="AA8" s="55"/>
      <c r="AB8" s="55"/>
      <c r="AC8" s="55"/>
      <c r="AD8" s="55"/>
    </row>
    <row r="9">
      <c r="A9" s="113" t="s">
        <v>4</v>
      </c>
      <c r="B9" s="114">
        <f>894.14*2</f>
        <v>1788.28</v>
      </c>
      <c r="C9" s="115">
        <v>1788.28</v>
      </c>
      <c r="D9" s="116">
        <f>894.14*2</f>
        <v>1788.28</v>
      </c>
      <c r="E9" s="115">
        <f>902.24*2</f>
        <v>1804.48</v>
      </c>
      <c r="F9" s="116">
        <f>894.14*2</f>
        <v>1788.28</v>
      </c>
      <c r="G9" s="115">
        <f>902.24*2</f>
        <v>1804.48</v>
      </c>
      <c r="H9" s="116">
        <f>894.14*2</f>
        <v>1788.28</v>
      </c>
      <c r="I9" s="117">
        <f>902.24*2</f>
        <v>1804.48</v>
      </c>
      <c r="J9" s="116">
        <f>Mensuel!$C$6</f>
        <v>2545.833333</v>
      </c>
      <c r="K9" s="117">
        <f>902.24*2</f>
        <v>1804.48</v>
      </c>
      <c r="L9" s="116">
        <f>Mensuel!$C$6</f>
        <v>2545.833333</v>
      </c>
      <c r="M9" s="117">
        <v>2223.27</v>
      </c>
      <c r="N9" s="118">
        <f>Mensuel!$C$6</f>
        <v>2545.833333</v>
      </c>
      <c r="O9" s="119">
        <v>2376.57</v>
      </c>
      <c r="P9" s="114">
        <f>Mensuel!$C$6</f>
        <v>2545.833333</v>
      </c>
      <c r="Q9" s="115"/>
      <c r="R9" s="116">
        <f>Mensuel!$C$6</f>
        <v>2545.833333</v>
      </c>
      <c r="S9" s="116">
        <f>Mensuel!$C$6</f>
        <v>2545.833333</v>
      </c>
      <c r="T9" s="116">
        <f>Mensuel!$C$6</f>
        <v>2545.833333</v>
      </c>
      <c r="U9" s="120">
        <f>Mensuel!$C$6</f>
        <v>2545.833333</v>
      </c>
      <c r="W9" s="121">
        <f t="shared" si="5"/>
        <v>27519.78667</v>
      </c>
      <c r="X9" s="173">
        <f t="shared" ref="X9:X11" si="6">SUM(E9,G9,I9)</f>
        <v>5413.44</v>
      </c>
      <c r="Y9" s="55"/>
      <c r="Z9" s="55"/>
      <c r="AA9" s="55"/>
      <c r="AB9" s="55"/>
      <c r="AC9" s="55"/>
      <c r="AD9" s="55"/>
    </row>
    <row r="10">
      <c r="A10" s="113" t="s">
        <v>49</v>
      </c>
      <c r="B10" s="114">
        <v>1070.97</v>
      </c>
      <c r="C10" s="115">
        <v>1070.97</v>
      </c>
      <c r="D10" s="116"/>
      <c r="E10" s="115"/>
      <c r="F10" s="116"/>
      <c r="G10" s="115"/>
      <c r="H10" s="116">
        <v>1070.97</v>
      </c>
      <c r="I10" s="117">
        <v>1150.0</v>
      </c>
      <c r="J10" s="116"/>
      <c r="K10" s="117"/>
      <c r="L10" s="116"/>
      <c r="M10" s="117"/>
      <c r="N10" s="118">
        <v>1070.97</v>
      </c>
      <c r="O10" s="119">
        <v>1138.0</v>
      </c>
      <c r="P10" s="114"/>
      <c r="Q10" s="115"/>
      <c r="R10" s="116"/>
      <c r="S10" s="122">
        <v>1070.97</v>
      </c>
      <c r="T10" s="116"/>
      <c r="U10" s="120"/>
      <c r="W10" s="121">
        <f t="shared" si="5"/>
        <v>4283.88</v>
      </c>
      <c r="X10" s="173">
        <f t="shared" si="6"/>
        <v>1150</v>
      </c>
      <c r="Y10" s="55"/>
      <c r="Z10" s="55"/>
      <c r="AA10" s="55"/>
      <c r="AB10" s="55"/>
      <c r="AC10" s="55"/>
      <c r="AD10" s="55"/>
    </row>
    <row r="11">
      <c r="A11" s="113" t="s">
        <v>51</v>
      </c>
      <c r="B11" s="123">
        <f>Mensuel!$C$9</f>
        <v>691.48</v>
      </c>
      <c r="C11" s="124">
        <v>631.82</v>
      </c>
      <c r="D11" s="125">
        <f>Mensuel!$C$9</f>
        <v>691.48</v>
      </c>
      <c r="E11" s="124">
        <v>631.82</v>
      </c>
      <c r="F11" s="125">
        <f>Mensuel!$C$9</f>
        <v>691.48</v>
      </c>
      <c r="G11" s="124">
        <v>631.82</v>
      </c>
      <c r="H11" s="125">
        <f>Mensuel!$C$9</f>
        <v>691.48</v>
      </c>
      <c r="I11" s="127">
        <v>631.82</v>
      </c>
      <c r="J11" s="125">
        <f>Mensuel!$C$9</f>
        <v>691.48</v>
      </c>
      <c r="K11" s="127">
        <v>631.82</v>
      </c>
      <c r="L11" s="125">
        <f>Mensuel!$C$9</f>
        <v>691.48</v>
      </c>
      <c r="M11" s="127">
        <v>631.82</v>
      </c>
      <c r="N11" s="128">
        <f>Mensuel!$C$9</f>
        <v>691.48</v>
      </c>
      <c r="O11" s="129">
        <v>631.82</v>
      </c>
      <c r="P11" s="123">
        <f>Mensuel!$C$9</f>
        <v>691.48</v>
      </c>
      <c r="Q11" s="126"/>
      <c r="R11" s="125">
        <f>Mensuel!$C$9</f>
        <v>691.48</v>
      </c>
      <c r="S11" s="125">
        <f>Mensuel!$C$9</f>
        <v>691.48</v>
      </c>
      <c r="T11" s="125">
        <f>Mensuel!$C$9</f>
        <v>691.48</v>
      </c>
      <c r="U11" s="130">
        <f>Mensuel!$C$9</f>
        <v>691.48</v>
      </c>
      <c r="W11" s="121">
        <f t="shared" si="5"/>
        <v>8297.76</v>
      </c>
      <c r="X11" s="173">
        <f t="shared" si="6"/>
        <v>1895.46</v>
      </c>
      <c r="Y11" s="55"/>
      <c r="Z11" s="55"/>
      <c r="AA11" s="55"/>
      <c r="AB11" s="55"/>
      <c r="AC11" s="55"/>
      <c r="AD11" s="55"/>
    </row>
    <row r="12">
      <c r="A12" s="113" t="s">
        <v>90</v>
      </c>
      <c r="B12" s="123"/>
      <c r="C12" s="124"/>
      <c r="D12" s="125"/>
      <c r="E12" s="124"/>
      <c r="F12" s="125"/>
      <c r="G12" s="124"/>
      <c r="H12" s="125"/>
      <c r="I12" s="127"/>
      <c r="J12" s="125"/>
      <c r="K12" s="127"/>
      <c r="L12" s="125">
        <v>955.5</v>
      </c>
      <c r="M12" s="127">
        <f>955.5*2</f>
        <v>1911</v>
      </c>
      <c r="N12" s="128">
        <v>955.5</v>
      </c>
      <c r="O12" s="129">
        <v>954.83</v>
      </c>
      <c r="P12" s="123">
        <v>955.5</v>
      </c>
      <c r="Q12" s="126"/>
      <c r="R12" s="125">
        <v>955.5</v>
      </c>
      <c r="S12" s="125">
        <v>955.5</v>
      </c>
      <c r="T12" s="125">
        <v>955.5</v>
      </c>
      <c r="U12" s="125">
        <v>955.5</v>
      </c>
      <c r="W12" s="121"/>
      <c r="X12" s="173"/>
      <c r="Y12" s="55"/>
      <c r="Z12" s="55"/>
      <c r="AA12" s="55"/>
      <c r="AB12" s="55"/>
      <c r="AC12" s="55"/>
      <c r="AD12" s="55"/>
    </row>
    <row r="13">
      <c r="A13" s="53"/>
      <c r="B13" s="97"/>
      <c r="C13" s="98"/>
      <c r="D13" s="98"/>
      <c r="E13" s="98"/>
      <c r="F13" s="98"/>
      <c r="G13" s="98"/>
      <c r="H13" s="98"/>
      <c r="I13" s="91"/>
      <c r="J13" s="98"/>
      <c r="K13" s="91"/>
      <c r="L13" s="98"/>
      <c r="M13" s="91"/>
      <c r="N13" s="131"/>
      <c r="O13" s="132"/>
      <c r="P13" s="97"/>
      <c r="Q13" s="98"/>
      <c r="R13" s="98"/>
      <c r="S13" s="98"/>
      <c r="T13" s="98"/>
      <c r="U13" s="91"/>
      <c r="W13" s="121"/>
      <c r="X13" s="174"/>
      <c r="Y13" s="55"/>
      <c r="Z13" s="55"/>
      <c r="AA13" s="55"/>
      <c r="AB13" s="55"/>
      <c r="AC13" s="55"/>
      <c r="AD13" s="55"/>
    </row>
    <row r="14">
      <c r="A14" s="133" t="s">
        <v>91</v>
      </c>
      <c r="B14" s="134">
        <f t="shared" ref="B14:U14" si="7">sum(B15:B19)</f>
        <v>2130.38</v>
      </c>
      <c r="C14" s="135">
        <f t="shared" si="7"/>
        <v>2227.63</v>
      </c>
      <c r="D14" s="136">
        <f t="shared" si="7"/>
        <v>2130.38</v>
      </c>
      <c r="E14" s="135">
        <f t="shared" si="7"/>
        <v>2227.63</v>
      </c>
      <c r="F14" s="136">
        <f t="shared" si="7"/>
        <v>2130.38</v>
      </c>
      <c r="G14" s="135">
        <f t="shared" si="7"/>
        <v>2227.63</v>
      </c>
      <c r="H14" s="136">
        <f t="shared" si="7"/>
        <v>2130.38</v>
      </c>
      <c r="I14" s="137">
        <f t="shared" si="7"/>
        <v>2227.63</v>
      </c>
      <c r="J14" s="136">
        <f t="shared" si="7"/>
        <v>2130.38</v>
      </c>
      <c r="K14" s="137">
        <f t="shared" si="7"/>
        <v>2227.63</v>
      </c>
      <c r="L14" s="136">
        <f t="shared" si="7"/>
        <v>2130.38</v>
      </c>
      <c r="M14" s="137">
        <f t="shared" si="7"/>
        <v>2242.17</v>
      </c>
      <c r="N14" s="138">
        <f t="shared" si="7"/>
        <v>2130.38</v>
      </c>
      <c r="O14" s="139">
        <f t="shared" si="7"/>
        <v>2242.17</v>
      </c>
      <c r="P14" s="134">
        <f t="shared" si="7"/>
        <v>2130.38</v>
      </c>
      <c r="Q14" s="135">
        <f t="shared" si="7"/>
        <v>665.84</v>
      </c>
      <c r="R14" s="136">
        <f t="shared" si="7"/>
        <v>2130.38</v>
      </c>
      <c r="S14" s="136">
        <f t="shared" si="7"/>
        <v>2130.38</v>
      </c>
      <c r="T14" s="136">
        <f t="shared" si="7"/>
        <v>2130.38</v>
      </c>
      <c r="U14" s="140">
        <f t="shared" si="7"/>
        <v>2130.38</v>
      </c>
      <c r="W14" s="141">
        <f>SUM(W15:W19)</f>
        <v>25564.56</v>
      </c>
      <c r="X14" s="112">
        <f>SUM(X15:X18)</f>
        <v>10942.89</v>
      </c>
      <c r="Y14" s="55"/>
      <c r="Z14" s="55"/>
      <c r="AA14" s="55"/>
      <c r="AB14" s="55"/>
      <c r="AC14" s="55"/>
      <c r="AD14" s="55"/>
    </row>
    <row r="15">
      <c r="A15" s="2" t="s">
        <v>92</v>
      </c>
      <c r="B15" s="142">
        <f>Mensuel!$C$16</f>
        <v>1680</v>
      </c>
      <c r="C15" s="115">
        <v>1420.0</v>
      </c>
      <c r="D15" s="143">
        <f>Mensuel!$C$16</f>
        <v>1680</v>
      </c>
      <c r="E15" s="115">
        <v>1420.0</v>
      </c>
      <c r="F15" s="143">
        <f>Mensuel!$C$16</f>
        <v>1680</v>
      </c>
      <c r="G15" s="115">
        <v>1420.0</v>
      </c>
      <c r="H15" s="143">
        <f>Mensuel!$C$16</f>
        <v>1680</v>
      </c>
      <c r="I15" s="117">
        <v>1420.0</v>
      </c>
      <c r="J15" s="143">
        <f>Mensuel!$C$16</f>
        <v>1680</v>
      </c>
      <c r="K15" s="117">
        <v>1420.0</v>
      </c>
      <c r="L15" s="143">
        <f>Mensuel!$C$16</f>
        <v>1680</v>
      </c>
      <c r="M15" s="117">
        <v>1420.0</v>
      </c>
      <c r="N15" s="144">
        <f>Mensuel!$C$16</f>
        <v>1680</v>
      </c>
      <c r="O15" s="119">
        <v>1420.0</v>
      </c>
      <c r="P15" s="142">
        <f>Mensuel!$C$16</f>
        <v>1680</v>
      </c>
      <c r="Q15" s="115"/>
      <c r="R15" s="143">
        <f>Mensuel!$C$16</f>
        <v>1680</v>
      </c>
      <c r="S15" s="143">
        <f>Mensuel!$C$16</f>
        <v>1680</v>
      </c>
      <c r="T15" s="143">
        <f>Mensuel!$C$16</f>
        <v>1680</v>
      </c>
      <c r="U15" s="145">
        <f>Mensuel!$C$16</f>
        <v>1680</v>
      </c>
      <c r="W15" s="121">
        <f t="shared" ref="W15:W18" si="8">SUM(B15,D15,F15,H15,J15,L15,N15,P15,R15,S15,T15,U15)</f>
        <v>20160</v>
      </c>
      <c r="X15" s="173">
        <f>SUM(E15,G15,I15,K15,M15,O15,Q15)</f>
        <v>8520</v>
      </c>
      <c r="Y15" s="55"/>
      <c r="Z15" s="55"/>
      <c r="AA15" s="55"/>
      <c r="AB15" s="55"/>
      <c r="AC15" s="55"/>
      <c r="AD15" s="55"/>
    </row>
    <row r="16">
      <c r="A16" s="2" t="s">
        <v>129</v>
      </c>
      <c r="B16" s="97">
        <f>Mensuel!$C$18</f>
        <v>200</v>
      </c>
      <c r="C16" s="146">
        <v>600.0</v>
      </c>
      <c r="D16" s="98">
        <f>Mensuel!$C$18</f>
        <v>200</v>
      </c>
      <c r="E16" s="146">
        <v>600.0</v>
      </c>
      <c r="F16" s="98">
        <f>Mensuel!$C$18</f>
        <v>200</v>
      </c>
      <c r="G16" s="146">
        <v>600.0</v>
      </c>
      <c r="H16" s="98">
        <f>Mensuel!$C$18</f>
        <v>200</v>
      </c>
      <c r="I16" s="147">
        <v>600.0</v>
      </c>
      <c r="J16" s="98">
        <f>Mensuel!$C$18</f>
        <v>200</v>
      </c>
      <c r="K16" s="147">
        <v>600.0</v>
      </c>
      <c r="L16" s="98">
        <f>Mensuel!$C$18</f>
        <v>200</v>
      </c>
      <c r="M16" s="147">
        <v>600.0</v>
      </c>
      <c r="N16" s="131">
        <f>Mensuel!$C$18</f>
        <v>200</v>
      </c>
      <c r="O16" s="155">
        <v>600.0</v>
      </c>
      <c r="P16" s="97">
        <f>Mensuel!$C$18</f>
        <v>200</v>
      </c>
      <c r="Q16" s="146">
        <v>600.0</v>
      </c>
      <c r="R16" s="98">
        <f>Mensuel!$C$18</f>
        <v>200</v>
      </c>
      <c r="S16" s="98">
        <f>Mensuel!$C$18</f>
        <v>200</v>
      </c>
      <c r="T16" s="98">
        <f>Mensuel!$C$18</f>
        <v>200</v>
      </c>
      <c r="U16" s="91">
        <f>Mensuel!$C$18</f>
        <v>200</v>
      </c>
      <c r="W16" s="121">
        <f t="shared" si="8"/>
        <v>2400</v>
      </c>
      <c r="X16" s="173">
        <f t="shared" ref="X16:X18" si="9">SUM(E16,G16,I16)</f>
        <v>1800</v>
      </c>
      <c r="Y16" s="55"/>
      <c r="Z16" s="55"/>
      <c r="AA16" s="55"/>
      <c r="AB16" s="55"/>
      <c r="AC16" s="55"/>
      <c r="AD16" s="55"/>
    </row>
    <row r="17">
      <c r="A17" s="2" t="s">
        <v>15</v>
      </c>
      <c r="B17" s="97">
        <f>Mensuel!$C$17</f>
        <v>170</v>
      </c>
      <c r="C17" s="146">
        <v>141.79</v>
      </c>
      <c r="D17" s="98">
        <f>Mensuel!$C$17</f>
        <v>170</v>
      </c>
      <c r="E17" s="115">
        <v>141.79</v>
      </c>
      <c r="F17" s="98">
        <f>Mensuel!$C$17</f>
        <v>170</v>
      </c>
      <c r="G17" s="115">
        <v>141.79</v>
      </c>
      <c r="H17" s="98">
        <f>Mensuel!$C$17</f>
        <v>170</v>
      </c>
      <c r="I17" s="117">
        <v>141.79</v>
      </c>
      <c r="J17" s="98">
        <f>Mensuel!$C$17</f>
        <v>170</v>
      </c>
      <c r="K17" s="117">
        <v>141.79</v>
      </c>
      <c r="L17" s="98">
        <f>Mensuel!$C$17</f>
        <v>170</v>
      </c>
      <c r="M17" s="117">
        <v>141.79</v>
      </c>
      <c r="N17" s="131">
        <f>Mensuel!$C$17</f>
        <v>170</v>
      </c>
      <c r="O17" s="117">
        <v>141.79</v>
      </c>
      <c r="P17" s="97">
        <f>Mensuel!$C$17</f>
        <v>170</v>
      </c>
      <c r="Q17" s="115"/>
      <c r="R17" s="98">
        <f>Mensuel!$C$17</f>
        <v>170</v>
      </c>
      <c r="S17" s="98">
        <f>Mensuel!$C$17</f>
        <v>170</v>
      </c>
      <c r="T17" s="98">
        <f>Mensuel!$C$17</f>
        <v>170</v>
      </c>
      <c r="U17" s="91">
        <f>Mensuel!$C$17</f>
        <v>170</v>
      </c>
      <c r="W17" s="121">
        <f t="shared" si="8"/>
        <v>2040</v>
      </c>
      <c r="X17" s="173">
        <f t="shared" si="9"/>
        <v>425.37</v>
      </c>
      <c r="Y17" s="55"/>
      <c r="Z17" s="55"/>
      <c r="AA17" s="55"/>
      <c r="AB17" s="55"/>
      <c r="AC17" s="55"/>
      <c r="AD17" s="55"/>
    </row>
    <row r="18">
      <c r="A18" s="2" t="s">
        <v>93</v>
      </c>
      <c r="B18" s="142">
        <f>Mensuel!$C$21</f>
        <v>80.38</v>
      </c>
      <c r="C18" s="115">
        <v>65.84</v>
      </c>
      <c r="D18" s="143">
        <f>Mensuel!$C$21</f>
        <v>80.38</v>
      </c>
      <c r="E18" s="115">
        <v>65.84</v>
      </c>
      <c r="F18" s="143">
        <f>Mensuel!$C$21</f>
        <v>80.38</v>
      </c>
      <c r="G18" s="115">
        <v>65.84</v>
      </c>
      <c r="H18" s="143">
        <f>Mensuel!$C$21</f>
        <v>80.38</v>
      </c>
      <c r="I18" s="117">
        <v>65.84</v>
      </c>
      <c r="J18" s="143">
        <f>Mensuel!$C$21</f>
        <v>80.38</v>
      </c>
      <c r="K18" s="117">
        <v>65.84</v>
      </c>
      <c r="L18" s="143">
        <f>Mensuel!$C$21</f>
        <v>80.38</v>
      </c>
      <c r="M18" s="117">
        <v>80.38</v>
      </c>
      <c r="N18" s="144">
        <f>Mensuel!$C$21</f>
        <v>80.38</v>
      </c>
      <c r="O18" s="117">
        <v>80.38</v>
      </c>
      <c r="P18" s="142">
        <f>Mensuel!$C$21</f>
        <v>80.38</v>
      </c>
      <c r="Q18" s="115">
        <v>65.84</v>
      </c>
      <c r="R18" s="143">
        <f>Mensuel!$C$21</f>
        <v>80.38</v>
      </c>
      <c r="S18" s="143">
        <f>Mensuel!$C$21</f>
        <v>80.38</v>
      </c>
      <c r="T18" s="143">
        <f>Mensuel!$C$21</f>
        <v>80.38</v>
      </c>
      <c r="U18" s="145">
        <f>Mensuel!$C$21</f>
        <v>80.38</v>
      </c>
      <c r="W18" s="121">
        <f t="shared" si="8"/>
        <v>964.56</v>
      </c>
      <c r="X18" s="173">
        <f t="shared" si="9"/>
        <v>197.52</v>
      </c>
      <c r="Y18" s="55"/>
      <c r="Z18" s="55"/>
      <c r="AA18" s="55"/>
      <c r="AB18" s="55"/>
      <c r="AC18" s="55"/>
      <c r="AD18" s="55"/>
    </row>
    <row r="19">
      <c r="A19" s="2" t="s">
        <v>56</v>
      </c>
      <c r="B19" s="97"/>
      <c r="C19" s="143"/>
      <c r="D19" s="98"/>
      <c r="E19" s="98"/>
      <c r="F19" s="143"/>
      <c r="G19" s="143"/>
      <c r="H19" s="98"/>
      <c r="I19" s="145"/>
      <c r="J19" s="143"/>
      <c r="K19" s="145"/>
      <c r="L19" s="98"/>
      <c r="M19" s="145"/>
      <c r="N19" s="144"/>
      <c r="O19" s="148"/>
      <c r="P19" s="97"/>
      <c r="Q19" s="143"/>
      <c r="R19" s="98"/>
      <c r="S19" s="143"/>
      <c r="T19" s="98"/>
      <c r="U19" s="91"/>
      <c r="W19" s="121"/>
      <c r="X19" s="174"/>
      <c r="Y19" s="55"/>
      <c r="Z19" s="55"/>
      <c r="AA19" s="55"/>
      <c r="AB19" s="55"/>
      <c r="AC19" s="55"/>
      <c r="AD19" s="55"/>
    </row>
    <row r="20">
      <c r="A20" s="53"/>
      <c r="B20" s="97"/>
      <c r="C20" s="98"/>
      <c r="D20" s="98"/>
      <c r="E20" s="98"/>
      <c r="F20" s="98"/>
      <c r="G20" s="98"/>
      <c r="H20" s="98"/>
      <c r="I20" s="91"/>
      <c r="J20" s="98"/>
      <c r="K20" s="91"/>
      <c r="L20" s="98"/>
      <c r="M20" s="91"/>
      <c r="N20" s="131"/>
      <c r="O20" s="132"/>
      <c r="P20" s="97"/>
      <c r="Q20" s="98"/>
      <c r="R20" s="98"/>
      <c r="S20" s="98"/>
      <c r="T20" s="98"/>
      <c r="U20" s="91"/>
      <c r="W20" s="121"/>
      <c r="X20" s="174"/>
      <c r="Y20" s="55"/>
      <c r="Z20" s="55"/>
      <c r="AA20" s="55"/>
      <c r="AB20" s="55"/>
      <c r="AC20" s="55"/>
      <c r="AD20" s="55"/>
    </row>
    <row r="21">
      <c r="A21" s="149" t="s">
        <v>95</v>
      </c>
      <c r="B21" s="134" t="str">
        <f t="shared" ref="B21:U21" si="10">SUM(B22:B26)</f>
        <v>#REF!</v>
      </c>
      <c r="C21" s="135">
        <f t="shared" si="10"/>
        <v>1180.21</v>
      </c>
      <c r="D21" s="136" t="str">
        <f t="shared" si="10"/>
        <v>#REF!</v>
      </c>
      <c r="E21" s="135">
        <f t="shared" si="10"/>
        <v>1943.75</v>
      </c>
      <c r="F21" s="136" t="str">
        <f t="shared" si="10"/>
        <v>#REF!</v>
      </c>
      <c r="G21" s="135">
        <f t="shared" si="10"/>
        <v>1183.17</v>
      </c>
      <c r="H21" s="136" t="str">
        <f t="shared" si="10"/>
        <v>#REF!</v>
      </c>
      <c r="I21" s="137">
        <f t="shared" si="10"/>
        <v>1322.01</v>
      </c>
      <c r="J21" s="136" t="str">
        <f t="shared" si="10"/>
        <v>#REF!</v>
      </c>
      <c r="K21" s="137">
        <f t="shared" si="10"/>
        <v>1332.8</v>
      </c>
      <c r="L21" s="136" t="str">
        <f t="shared" si="10"/>
        <v>#REF!</v>
      </c>
      <c r="M21" s="137">
        <f t="shared" si="10"/>
        <v>1015.46</v>
      </c>
      <c r="N21" s="138" t="str">
        <f t="shared" si="10"/>
        <v>#REF!</v>
      </c>
      <c r="O21" s="139">
        <f t="shared" si="10"/>
        <v>937.21</v>
      </c>
      <c r="P21" s="134" t="str">
        <f t="shared" si="10"/>
        <v>#REF!</v>
      </c>
      <c r="Q21" s="135">
        <f t="shared" si="10"/>
        <v>429.34</v>
      </c>
      <c r="R21" s="136" t="str">
        <f t="shared" si="10"/>
        <v>#REF!</v>
      </c>
      <c r="S21" s="136" t="str">
        <f t="shared" si="10"/>
        <v>#REF!</v>
      </c>
      <c r="T21" s="136" t="str">
        <f t="shared" si="10"/>
        <v>#REF!</v>
      </c>
      <c r="U21" s="140" t="str">
        <f t="shared" si="10"/>
        <v>#REF!</v>
      </c>
      <c r="W21" s="141" t="str">
        <f>SUM(W22:W25)</f>
        <v>#REF!</v>
      </c>
      <c r="X21" s="112">
        <f>SUM(X22:X26)</f>
        <v>6446.38</v>
      </c>
      <c r="Y21" s="55"/>
      <c r="Z21" s="55"/>
      <c r="AA21" s="55"/>
      <c r="AB21" s="55"/>
      <c r="AC21" s="55"/>
      <c r="AD21" s="55"/>
    </row>
    <row r="22">
      <c r="A22" s="150" t="s">
        <v>36</v>
      </c>
      <c r="B22" s="142" t="str">
        <f>#REF!</f>
        <v>#REF!</v>
      </c>
      <c r="C22" s="115">
        <v>429.34</v>
      </c>
      <c r="D22" s="143" t="str">
        <f>#REF!</f>
        <v>#REF!</v>
      </c>
      <c r="E22" s="115">
        <f>214.67*2</f>
        <v>429.34</v>
      </c>
      <c r="F22" s="143" t="str">
        <f>#REF!</f>
        <v>#REF!</v>
      </c>
      <c r="G22" s="115">
        <f>214.67*2</f>
        <v>429.34</v>
      </c>
      <c r="H22" s="143" t="str">
        <f>#REF!</f>
        <v>#REF!</v>
      </c>
      <c r="I22" s="117">
        <f>214.67*2</f>
        <v>429.34</v>
      </c>
      <c r="J22" s="143" t="str">
        <f>#REF!</f>
        <v>#REF!</v>
      </c>
      <c r="K22" s="117">
        <f>214.67*2</f>
        <v>429.34</v>
      </c>
      <c r="L22" s="143" t="str">
        <f>#REF!</f>
        <v>#REF!</v>
      </c>
      <c r="M22" s="117">
        <f>214.67*2</f>
        <v>429.34</v>
      </c>
      <c r="N22" s="144" t="str">
        <f>#REF!</f>
        <v>#REF!</v>
      </c>
      <c r="O22" s="119">
        <f>214.67*2</f>
        <v>429.34</v>
      </c>
      <c r="P22" s="142" t="str">
        <f>#REF!</f>
        <v>#REF!</v>
      </c>
      <c r="Q22" s="115">
        <f>214.67*2</f>
        <v>429.34</v>
      </c>
      <c r="R22" s="143" t="str">
        <f t="shared" ref="R22:U22" si="11">#REF!</f>
        <v>#REF!</v>
      </c>
      <c r="S22" s="143" t="str">
        <f t="shared" si="11"/>
        <v>#REF!</v>
      </c>
      <c r="T22" s="143" t="str">
        <f t="shared" si="11"/>
        <v>#REF!</v>
      </c>
      <c r="U22" s="145" t="str">
        <f t="shared" si="11"/>
        <v>#REF!</v>
      </c>
      <c r="W22" s="121" t="str">
        <f t="shared" ref="W22:W25" si="12">SUM(B22,D22,F22,H22,J22,L22,N22,P22,R22,S22,T22,U22)</f>
        <v>#REF!</v>
      </c>
      <c r="X22" s="173">
        <f>SUM(E22,G22,I22)</f>
        <v>1288.02</v>
      </c>
      <c r="Y22" s="55"/>
      <c r="Z22" s="55"/>
      <c r="AA22" s="55"/>
      <c r="AB22" s="55"/>
      <c r="AC22" s="55"/>
      <c r="AD22" s="55"/>
    </row>
    <row r="23">
      <c r="A23" s="150" t="s">
        <v>96</v>
      </c>
      <c r="B23" s="142">
        <v>24.75</v>
      </c>
      <c r="C23" s="115">
        <v>24.75</v>
      </c>
      <c r="D23" s="143"/>
      <c r="E23" s="115"/>
      <c r="F23" s="143">
        <v>210.32</v>
      </c>
      <c r="G23" s="115">
        <v>210.32</v>
      </c>
      <c r="H23" s="143"/>
      <c r="I23" s="117"/>
      <c r="J23" s="143">
        <v>202.74</v>
      </c>
      <c r="K23" s="117">
        <v>202.74</v>
      </c>
      <c r="L23" s="143"/>
      <c r="M23" s="117"/>
      <c r="N23" s="144">
        <v>24.75</v>
      </c>
      <c r="O23" s="119">
        <v>24.75</v>
      </c>
      <c r="P23" s="142"/>
      <c r="Q23" s="115"/>
      <c r="R23" s="143"/>
      <c r="S23" s="143"/>
      <c r="T23" s="143"/>
      <c r="U23" s="145"/>
      <c r="W23" s="121">
        <f t="shared" si="12"/>
        <v>462.56</v>
      </c>
      <c r="X23" s="173">
        <f t="shared" ref="X23:X26" si="13">SUM(E23,G23,I23,K23,M23,O23,Q23)</f>
        <v>437.81</v>
      </c>
      <c r="Y23" s="55"/>
      <c r="Z23" s="55"/>
      <c r="AA23" s="55"/>
      <c r="AB23" s="55"/>
      <c r="AC23" s="55"/>
      <c r="AD23" s="55"/>
    </row>
    <row r="24">
      <c r="A24" s="150" t="s">
        <v>97</v>
      </c>
      <c r="B24" s="142">
        <f>Mensuel!$C$22</f>
        <v>98.54</v>
      </c>
      <c r="C24" s="115">
        <v>126.12</v>
      </c>
      <c r="D24" s="143">
        <f>Mensuel!$C$22</f>
        <v>98.54</v>
      </c>
      <c r="E24" s="115">
        <v>126.12</v>
      </c>
      <c r="F24" s="143">
        <f>Mensuel!$C$22</f>
        <v>98.54</v>
      </c>
      <c r="G24" s="115">
        <v>126.12</v>
      </c>
      <c r="H24" s="143">
        <f>Mensuel!$C$22</f>
        <v>98.54</v>
      </c>
      <c r="I24" s="117">
        <v>126.12</v>
      </c>
      <c r="J24" s="143">
        <f>Mensuel!$C$22</f>
        <v>98.54</v>
      </c>
      <c r="K24" s="117">
        <v>126.12</v>
      </c>
      <c r="L24" s="143">
        <f>Mensuel!$C$22</f>
        <v>98.54</v>
      </c>
      <c r="M24" s="117">
        <v>126.12</v>
      </c>
      <c r="N24" s="144">
        <f>Mensuel!$C$22</f>
        <v>98.54</v>
      </c>
      <c r="O24" s="117">
        <v>126.12</v>
      </c>
      <c r="P24" s="142">
        <f>Mensuel!$C$22</f>
        <v>98.54</v>
      </c>
      <c r="Q24" s="115"/>
      <c r="R24" s="143">
        <v>126.12</v>
      </c>
      <c r="S24" s="143">
        <v>126.12</v>
      </c>
      <c r="T24" s="143">
        <v>126.12</v>
      </c>
      <c r="U24" s="145">
        <v>126.12</v>
      </c>
      <c r="W24" s="121">
        <f t="shared" si="12"/>
        <v>1292.8</v>
      </c>
      <c r="X24" s="173">
        <f t="shared" si="13"/>
        <v>756.72</v>
      </c>
      <c r="Y24" s="55"/>
      <c r="Z24" s="55"/>
      <c r="AA24" s="55"/>
      <c r="AB24" s="55"/>
      <c r="AC24" s="55"/>
      <c r="AD24" s="55"/>
    </row>
    <row r="25">
      <c r="A25" s="150" t="s">
        <v>38</v>
      </c>
      <c r="B25" s="142">
        <f>Mensuel!$C$27</f>
        <v>540</v>
      </c>
      <c r="C25" s="115">
        <v>600.0</v>
      </c>
      <c r="D25" s="143">
        <f>Mensuel!$C$27</f>
        <v>540</v>
      </c>
      <c r="E25" s="115">
        <f>436.58+65</f>
        <v>501.58</v>
      </c>
      <c r="F25" s="143">
        <f>Mensuel!$C$27</f>
        <v>540</v>
      </c>
      <c r="G25" s="115">
        <f>54.57+61.37+15+61.76+15+73.32+60+76.37</f>
        <v>417.39</v>
      </c>
      <c r="H25" s="143">
        <f>Mensuel!$C$27</f>
        <v>540</v>
      </c>
      <c r="I25" s="117">
        <f>75.88+82.62+73.76+69.89+68.12+72.49+72.79</f>
        <v>515.55</v>
      </c>
      <c r="J25" s="143">
        <f>Mensuel!$C$27</f>
        <v>540</v>
      </c>
      <c r="K25" s="117">
        <v>574.6</v>
      </c>
      <c r="L25" s="143">
        <f>Mensuel!$C$27</f>
        <v>540</v>
      </c>
      <c r="M25" s="117">
        <f>323+65+72</f>
        <v>460</v>
      </c>
      <c r="N25" s="144">
        <f>Mensuel!$C$27</f>
        <v>540</v>
      </c>
      <c r="O25" s="119">
        <v>357.0</v>
      </c>
      <c r="P25" s="142">
        <f>Mensuel!$C$27</f>
        <v>540</v>
      </c>
      <c r="Q25" s="115"/>
      <c r="R25" s="143">
        <f>Mensuel!$C$27</f>
        <v>540</v>
      </c>
      <c r="S25" s="143">
        <f>Mensuel!$C$27</f>
        <v>540</v>
      </c>
      <c r="T25" s="143">
        <f>Mensuel!$C$27</f>
        <v>540</v>
      </c>
      <c r="U25" s="145">
        <f>Mensuel!$C$27</f>
        <v>540</v>
      </c>
      <c r="W25" s="121">
        <f t="shared" si="12"/>
        <v>6480</v>
      </c>
      <c r="X25" s="173">
        <f t="shared" si="13"/>
        <v>2826.12</v>
      </c>
      <c r="Y25" s="55"/>
      <c r="Z25" s="55"/>
      <c r="AA25" s="55"/>
      <c r="AB25" s="55"/>
      <c r="AC25" s="55"/>
      <c r="AD25" s="55"/>
    </row>
    <row r="26">
      <c r="A26" s="151" t="s">
        <v>98</v>
      </c>
      <c r="B26" s="97"/>
      <c r="C26" s="98"/>
      <c r="D26" s="152"/>
      <c r="E26" s="126">
        <f>250+636.71</f>
        <v>886.71</v>
      </c>
      <c r="F26" s="98"/>
      <c r="G26" s="98"/>
      <c r="H26" s="143">
        <f>120+130</f>
        <v>250</v>
      </c>
      <c r="I26" s="145">
        <f>117+134</f>
        <v>251</v>
      </c>
      <c r="J26" s="143"/>
      <c r="K26" s="91"/>
      <c r="L26" s="143"/>
      <c r="M26" s="91"/>
      <c r="N26" s="144"/>
      <c r="O26" s="132"/>
      <c r="P26" s="142"/>
      <c r="Q26" s="98"/>
      <c r="R26" s="143"/>
      <c r="S26" s="143"/>
      <c r="T26" s="143"/>
      <c r="U26" s="145"/>
      <c r="W26" s="121"/>
      <c r="X26" s="173">
        <f t="shared" si="13"/>
        <v>1137.71</v>
      </c>
      <c r="Y26" s="55"/>
      <c r="Z26" s="55"/>
      <c r="AA26" s="55"/>
      <c r="AB26" s="55"/>
      <c r="AC26" s="55"/>
      <c r="AD26" s="55"/>
    </row>
    <row r="27">
      <c r="A27" s="150"/>
      <c r="B27" s="97"/>
      <c r="C27" s="98"/>
      <c r="D27" s="98"/>
      <c r="E27" s="98"/>
      <c r="F27" s="98"/>
      <c r="G27" s="98"/>
      <c r="H27" s="98"/>
      <c r="I27" s="91"/>
      <c r="J27" s="98"/>
      <c r="K27" s="91"/>
      <c r="L27" s="98"/>
      <c r="M27" s="91"/>
      <c r="N27" s="131"/>
      <c r="O27" s="132"/>
      <c r="P27" s="97"/>
      <c r="Q27" s="98"/>
      <c r="R27" s="98"/>
      <c r="S27" s="98"/>
      <c r="T27" s="98"/>
      <c r="U27" s="91"/>
      <c r="W27" s="121"/>
      <c r="X27" s="174"/>
      <c r="Y27" s="55"/>
      <c r="Z27" s="55"/>
      <c r="AA27" s="55"/>
      <c r="AB27" s="55"/>
      <c r="AC27" s="55"/>
      <c r="AD27" s="55"/>
    </row>
    <row r="28">
      <c r="A28" s="149" t="s">
        <v>99</v>
      </c>
      <c r="B28" s="134">
        <f>SUM(B29:B33)</f>
        <v>428.17</v>
      </c>
      <c r="C28" s="135">
        <f>sum(C29:C33)</f>
        <v>287.17</v>
      </c>
      <c r="D28" s="136">
        <f t="shared" ref="D28:F28" si="14">SUM(D29:D33)</f>
        <v>428.17</v>
      </c>
      <c r="E28" s="135">
        <f t="shared" si="14"/>
        <v>324.48</v>
      </c>
      <c r="F28" s="136">
        <f t="shared" si="14"/>
        <v>428.17</v>
      </c>
      <c r="G28" s="135">
        <f>sum(G29:G33)</f>
        <v>922.07</v>
      </c>
      <c r="H28" s="136">
        <f>SUM(H29:H33)</f>
        <v>728.17</v>
      </c>
      <c r="I28" s="137">
        <f>sum(I29:I33)</f>
        <v>690.07</v>
      </c>
      <c r="J28" s="136">
        <f>SUM(J29:J33)</f>
        <v>628.17</v>
      </c>
      <c r="K28" s="137">
        <f>sum(K29:K33)</f>
        <v>1599.32</v>
      </c>
      <c r="L28" s="136">
        <f>SUM(L29:L33)</f>
        <v>628.17</v>
      </c>
      <c r="M28" s="137">
        <f>sum(M29:M33)</f>
        <v>1561.98</v>
      </c>
      <c r="N28" s="138">
        <f>SUM(N29:N33)</f>
        <v>628.17</v>
      </c>
      <c r="O28" s="139">
        <f>sum(O29:O33)</f>
        <v>1595.73</v>
      </c>
      <c r="P28" s="134">
        <f>SUM(P29:P33)</f>
        <v>628.17</v>
      </c>
      <c r="Q28" s="135">
        <f>sum(Q29:Q33)</f>
        <v>195.17</v>
      </c>
      <c r="R28" s="136">
        <f t="shared" ref="R28:U28" si="15">SUM(R29:R33)</f>
        <v>628.17</v>
      </c>
      <c r="S28" s="136">
        <f t="shared" si="15"/>
        <v>628.17</v>
      </c>
      <c r="T28" s="136">
        <f t="shared" si="15"/>
        <v>628.17</v>
      </c>
      <c r="U28" s="140">
        <f t="shared" si="15"/>
        <v>628.17</v>
      </c>
      <c r="W28" s="141">
        <f t="shared" ref="W28:X28" si="16">SUM(W29:W33)</f>
        <v>7038.04</v>
      </c>
      <c r="X28" s="112">
        <f t="shared" si="16"/>
        <v>6888.82</v>
      </c>
      <c r="Y28" s="55"/>
      <c r="Z28" s="55"/>
      <c r="AA28" s="55"/>
      <c r="AB28" s="55"/>
      <c r="AC28" s="55"/>
      <c r="AD28" s="55"/>
    </row>
    <row r="29">
      <c r="A29" s="150" t="s">
        <v>100</v>
      </c>
      <c r="B29" s="100">
        <f>Mensuel!$G$22</f>
        <v>40</v>
      </c>
      <c r="C29" s="124">
        <v>40.0</v>
      </c>
      <c r="D29" s="101">
        <f>Mensuel!$G$22</f>
        <v>40</v>
      </c>
      <c r="E29" s="126">
        <f>10.75+3.95+9.61</f>
        <v>24.31</v>
      </c>
      <c r="F29" s="101">
        <f>Mensuel!$G$22</f>
        <v>40</v>
      </c>
      <c r="G29" s="153">
        <f>3.95+10.95</f>
        <v>14.9</v>
      </c>
      <c r="H29" s="101">
        <f>Mensuel!$G$22</f>
        <v>40</v>
      </c>
      <c r="I29" s="154">
        <f>3.95+10.95</f>
        <v>14.9</v>
      </c>
      <c r="J29" s="101">
        <f>Mensuel!$G$22</f>
        <v>40</v>
      </c>
      <c r="K29" s="154">
        <f>3.95+10.95</f>
        <v>14.9</v>
      </c>
      <c r="L29" s="101">
        <f>Mensuel!$G$22</f>
        <v>40</v>
      </c>
      <c r="M29" s="127">
        <f>10.95+9.61</f>
        <v>20.56</v>
      </c>
      <c r="N29" s="102">
        <f>Mensuel!$G$22</f>
        <v>40</v>
      </c>
      <c r="O29" s="127">
        <f>10.95+9.61</f>
        <v>20.56</v>
      </c>
      <c r="P29" s="100">
        <f>Mensuel!$G$22</f>
        <v>40</v>
      </c>
      <c r="Q29" s="124"/>
      <c r="R29" s="101">
        <f>Mensuel!$G$22</f>
        <v>40</v>
      </c>
      <c r="S29" s="101">
        <f>Mensuel!$G$22</f>
        <v>40</v>
      </c>
      <c r="T29" s="101">
        <f>Mensuel!$G$22</f>
        <v>40</v>
      </c>
      <c r="U29" s="103">
        <f>Mensuel!$G$22</f>
        <v>40</v>
      </c>
      <c r="W29" s="121">
        <f t="shared" ref="W29:W33" si="17">SUM(B29,D29,F29,H29,J29,L29,N29,P29,R29,S29,T29,U29)</f>
        <v>480</v>
      </c>
      <c r="X29" s="173">
        <f t="shared" ref="X29:X33" si="18">SUM(E29,G29,I29,K29,M29,O29,Q29)</f>
        <v>110.13</v>
      </c>
      <c r="Y29" s="55"/>
      <c r="Z29" s="55"/>
      <c r="AA29" s="55"/>
      <c r="AB29" s="55"/>
      <c r="AC29" s="55"/>
      <c r="AD29" s="55"/>
    </row>
    <row r="30">
      <c r="A30" s="2" t="s">
        <v>101</v>
      </c>
      <c r="B30" s="97"/>
      <c r="C30" s="146"/>
      <c r="D30" s="143"/>
      <c r="E30" s="115"/>
      <c r="F30" s="143"/>
      <c r="G30" s="115"/>
      <c r="H30" s="143">
        <v>300.0</v>
      </c>
      <c r="I30" s="117">
        <v>300.0</v>
      </c>
      <c r="J30" s="143">
        <f>Mensuel!$O$15</f>
        <v>200</v>
      </c>
      <c r="K30" s="117">
        <v>1200.0</v>
      </c>
      <c r="L30" s="143">
        <f>Mensuel!$O$15</f>
        <v>200</v>
      </c>
      <c r="M30" s="117">
        <f>300*4</f>
        <v>1200</v>
      </c>
      <c r="N30" s="144">
        <f>Mensuel!$O$15</f>
        <v>200</v>
      </c>
      <c r="O30" s="119">
        <v>1200.0</v>
      </c>
      <c r="P30" s="142">
        <f>Mensuel!$O$15</f>
        <v>200</v>
      </c>
      <c r="Q30" s="115"/>
      <c r="R30" s="143">
        <f>Mensuel!$O$15</f>
        <v>200</v>
      </c>
      <c r="S30" s="143">
        <f>Mensuel!$O$15</f>
        <v>200</v>
      </c>
      <c r="T30" s="143">
        <f>Mensuel!$O$15</f>
        <v>200</v>
      </c>
      <c r="U30" s="145">
        <f>Mensuel!$O$15</f>
        <v>200</v>
      </c>
      <c r="W30" s="121">
        <f t="shared" si="17"/>
        <v>1900</v>
      </c>
      <c r="X30" s="173">
        <f t="shared" si="18"/>
        <v>3900</v>
      </c>
      <c r="Y30" s="55"/>
      <c r="Z30" s="55"/>
      <c r="AA30" s="55"/>
      <c r="AB30" s="55"/>
      <c r="AC30" s="55"/>
      <c r="AD30" s="55"/>
    </row>
    <row r="31">
      <c r="A31" s="150" t="s">
        <v>102</v>
      </c>
      <c r="B31" s="97">
        <f>Mensuel!$K$26</f>
        <v>62.17</v>
      </c>
      <c r="C31" s="146">
        <v>61.17</v>
      </c>
      <c r="D31" s="98">
        <f>Mensuel!$K$26</f>
        <v>62.17</v>
      </c>
      <c r="E31" s="115">
        <v>61.17</v>
      </c>
      <c r="F31" s="98">
        <f>Mensuel!$K$26</f>
        <v>62.17</v>
      </c>
      <c r="G31" s="115">
        <v>61.17</v>
      </c>
      <c r="H31" s="98">
        <f>Mensuel!$K$26</f>
        <v>62.17</v>
      </c>
      <c r="I31" s="117">
        <v>61.17</v>
      </c>
      <c r="J31" s="98">
        <f>Mensuel!$K$26</f>
        <v>62.17</v>
      </c>
      <c r="K31" s="117">
        <v>61.17</v>
      </c>
      <c r="L31" s="98">
        <f>Mensuel!$K$26</f>
        <v>62.17</v>
      </c>
      <c r="M31" s="117">
        <v>61.17</v>
      </c>
      <c r="N31" s="131">
        <f>Mensuel!$K$26</f>
        <v>62.17</v>
      </c>
      <c r="O31" s="119">
        <v>61.17</v>
      </c>
      <c r="P31" s="97">
        <f>Mensuel!$K$26</f>
        <v>62.17</v>
      </c>
      <c r="Q31" s="115">
        <v>61.17</v>
      </c>
      <c r="R31" s="98">
        <f>Mensuel!$K$26</f>
        <v>62.17</v>
      </c>
      <c r="S31" s="98">
        <f>Mensuel!$K$26</f>
        <v>62.17</v>
      </c>
      <c r="T31" s="98">
        <f>Mensuel!$K$26</f>
        <v>62.17</v>
      </c>
      <c r="U31" s="91">
        <f>Mensuel!$K$26</f>
        <v>62.17</v>
      </c>
      <c r="W31" s="121">
        <f t="shared" si="17"/>
        <v>746.04</v>
      </c>
      <c r="X31" s="173">
        <f t="shared" si="18"/>
        <v>428.19</v>
      </c>
      <c r="Y31" s="55"/>
      <c r="Z31" s="55"/>
      <c r="AA31" s="55"/>
      <c r="AB31" s="55"/>
      <c r="AC31" s="55"/>
      <c r="AD31" s="55"/>
    </row>
    <row r="32">
      <c r="A32" s="150" t="s">
        <v>103</v>
      </c>
      <c r="B32" s="97">
        <f>Mensuel!$O$17</f>
        <v>180</v>
      </c>
      <c r="C32" s="146">
        <v>40.0</v>
      </c>
      <c r="D32" s="98">
        <f>Mensuel!$O$17</f>
        <v>180</v>
      </c>
      <c r="E32" s="115">
        <f>40+65</f>
        <v>105</v>
      </c>
      <c r="F32" s="98">
        <f>Mensuel!$O$17</f>
        <v>180</v>
      </c>
      <c r="G32" s="115">
        <f>684+28</f>
        <v>712</v>
      </c>
      <c r="H32" s="98">
        <f>Mensuel!$O$17</f>
        <v>180</v>
      </c>
      <c r="I32" s="117">
        <v>180.0</v>
      </c>
      <c r="J32" s="143">
        <v>180.0</v>
      </c>
      <c r="K32" s="117">
        <v>189.25</v>
      </c>
      <c r="L32" s="143">
        <v>180.0</v>
      </c>
      <c r="M32" s="117">
        <v>146.25</v>
      </c>
      <c r="N32" s="144">
        <v>180.0</v>
      </c>
      <c r="O32" s="119">
        <v>180.0</v>
      </c>
      <c r="P32" s="142">
        <v>180.0</v>
      </c>
      <c r="Q32" s="146"/>
      <c r="R32" s="143">
        <v>180.0</v>
      </c>
      <c r="S32" s="143">
        <v>180.0</v>
      </c>
      <c r="T32" s="143">
        <v>180.0</v>
      </c>
      <c r="U32" s="145">
        <v>180.0</v>
      </c>
      <c r="W32" s="121">
        <f t="shared" si="17"/>
        <v>2160</v>
      </c>
      <c r="X32" s="173">
        <f t="shared" si="18"/>
        <v>1512.5</v>
      </c>
      <c r="Y32" s="55"/>
      <c r="Z32" s="55"/>
      <c r="AA32" s="55"/>
      <c r="AB32" s="55"/>
      <c r="AC32" s="55"/>
      <c r="AD32" s="55"/>
    </row>
    <row r="33">
      <c r="A33" s="150" t="s">
        <v>104</v>
      </c>
      <c r="B33" s="142">
        <f>Mensuel!$C$23+Mensuel!$C$24</f>
        <v>146</v>
      </c>
      <c r="C33" s="115">
        <v>146.0</v>
      </c>
      <c r="D33" s="143">
        <f>Mensuel!$C$23+Mensuel!$C$24</f>
        <v>146</v>
      </c>
      <c r="E33" s="115">
        <v>134.0</v>
      </c>
      <c r="F33" s="143">
        <f>Mensuel!$C$23+Mensuel!$C$24</f>
        <v>146</v>
      </c>
      <c r="G33" s="115">
        <v>134.0</v>
      </c>
      <c r="H33" s="143">
        <f>Mensuel!$C$23+Mensuel!$C$24</f>
        <v>146</v>
      </c>
      <c r="I33" s="117">
        <v>134.0</v>
      </c>
      <c r="J33" s="143">
        <f>Mensuel!$C$23+Mensuel!$C$24</f>
        <v>146</v>
      </c>
      <c r="K33" s="117">
        <v>134.0</v>
      </c>
      <c r="L33" s="143">
        <f>Mensuel!$C$23+Mensuel!$C$24</f>
        <v>146</v>
      </c>
      <c r="M33" s="117">
        <v>134.0</v>
      </c>
      <c r="N33" s="144">
        <f>Mensuel!$C$23+Mensuel!$C$24</f>
        <v>146</v>
      </c>
      <c r="O33" s="119">
        <v>134.0</v>
      </c>
      <c r="P33" s="142">
        <f>Mensuel!$C$23+Mensuel!$C$24</f>
        <v>146</v>
      </c>
      <c r="Q33" s="115">
        <v>134.0</v>
      </c>
      <c r="R33" s="143">
        <f>Mensuel!$C$23+Mensuel!$C$24</f>
        <v>146</v>
      </c>
      <c r="S33" s="143">
        <f>Mensuel!$C$23+Mensuel!$C$24</f>
        <v>146</v>
      </c>
      <c r="T33" s="143">
        <f>Mensuel!$C$23+Mensuel!$C$24</f>
        <v>146</v>
      </c>
      <c r="U33" s="145">
        <f>Mensuel!$C$23+Mensuel!$C$24</f>
        <v>146</v>
      </c>
      <c r="W33" s="121">
        <f t="shared" si="17"/>
        <v>1752</v>
      </c>
      <c r="X33" s="173">
        <f t="shared" si="18"/>
        <v>938</v>
      </c>
      <c r="Y33" s="55"/>
      <c r="Z33" s="55"/>
      <c r="AA33" s="55"/>
      <c r="AB33" s="55"/>
      <c r="AC33" s="55"/>
      <c r="AD33" s="55"/>
    </row>
    <row r="34">
      <c r="A34" s="2" t="s">
        <v>105</v>
      </c>
      <c r="B34" s="97"/>
      <c r="C34" s="98"/>
      <c r="D34" s="98"/>
      <c r="E34" s="98"/>
      <c r="F34" s="98"/>
      <c r="G34" s="98"/>
      <c r="H34" s="98"/>
      <c r="I34" s="91"/>
      <c r="J34" s="98"/>
      <c r="K34" s="91"/>
      <c r="L34" s="98"/>
      <c r="M34" s="91"/>
      <c r="N34" s="131"/>
      <c r="O34" s="132"/>
      <c r="P34" s="97"/>
      <c r="Q34" s="98"/>
      <c r="R34" s="98"/>
      <c r="S34" s="143">
        <f>Mensuel!$K$20</f>
        <v>175</v>
      </c>
      <c r="T34" s="143">
        <f>Mensuel!$K$20</f>
        <v>175</v>
      </c>
      <c r="U34" s="143">
        <f>Mensuel!$K$20</f>
        <v>175</v>
      </c>
      <c r="W34" s="121"/>
      <c r="X34" s="174"/>
      <c r="Y34" s="55"/>
      <c r="Z34" s="55"/>
      <c r="AA34" s="55"/>
      <c r="AB34" s="55"/>
      <c r="AC34" s="55"/>
      <c r="AD34" s="55"/>
    </row>
    <row r="35">
      <c r="B35" s="97"/>
      <c r="C35" s="98"/>
      <c r="D35" s="98"/>
      <c r="E35" s="98"/>
      <c r="F35" s="98"/>
      <c r="G35" s="98"/>
      <c r="H35" s="98"/>
      <c r="I35" s="91"/>
      <c r="J35" s="98"/>
      <c r="K35" s="91"/>
      <c r="L35" s="98"/>
      <c r="M35" s="91"/>
      <c r="N35" s="131"/>
      <c r="O35" s="132"/>
      <c r="P35" s="97"/>
      <c r="Q35" s="98"/>
      <c r="R35" s="98"/>
      <c r="S35" s="98"/>
      <c r="T35" s="98"/>
      <c r="U35" s="91"/>
      <c r="W35" s="121"/>
      <c r="X35" s="174"/>
      <c r="Y35" s="55"/>
      <c r="Z35" s="55"/>
      <c r="AA35" s="55"/>
      <c r="AB35" s="55"/>
      <c r="AC35" s="55"/>
      <c r="AD35" s="55"/>
    </row>
    <row r="36">
      <c r="A36" s="149" t="s">
        <v>106</v>
      </c>
      <c r="B36" s="134">
        <f>SUM(B37:B39)</f>
        <v>1058.333333</v>
      </c>
      <c r="C36" s="135">
        <f>sum(C37:C39)</f>
        <v>1018.333333</v>
      </c>
      <c r="D36" s="136">
        <f t="shared" ref="D36:F36" si="19">SUM(D37:D39)</f>
        <v>1058.333333</v>
      </c>
      <c r="E36" s="135">
        <f t="shared" si="19"/>
        <v>939.49</v>
      </c>
      <c r="F36" s="136">
        <f t="shared" si="19"/>
        <v>1058.333333</v>
      </c>
      <c r="G36" s="135">
        <f>sum(G37:G39)</f>
        <v>1233.27</v>
      </c>
      <c r="H36" s="136">
        <f>SUM(H37:H39)</f>
        <v>1058.333333</v>
      </c>
      <c r="I36" s="137">
        <f>sum(I37:I39)</f>
        <v>1149.99</v>
      </c>
      <c r="J36" s="136">
        <f>SUM(J37:J39)</f>
        <v>1058.333333</v>
      </c>
      <c r="K36" s="137">
        <f>sum(K37:K39)</f>
        <v>1251.43</v>
      </c>
      <c r="L36" s="136">
        <f>SUM(L37:L39)</f>
        <v>1058.333333</v>
      </c>
      <c r="M36" s="137">
        <f>sum(M37:M39)</f>
        <v>1110.5</v>
      </c>
      <c r="N36" s="138">
        <f>SUM(N37:N39)</f>
        <v>1058.333333</v>
      </c>
      <c r="O36" s="139">
        <f>sum(O37:O39)</f>
        <v>940.26</v>
      </c>
      <c r="P36" s="134">
        <f>SUM(P37:P39)</f>
        <v>1058.333333</v>
      </c>
      <c r="Q36" s="135">
        <f>sum(Q37:Q39)</f>
        <v>0</v>
      </c>
      <c r="R36" s="136">
        <f t="shared" ref="R36:U36" si="20">SUM(R37:R39)</f>
        <v>1058.333333</v>
      </c>
      <c r="S36" s="136">
        <f t="shared" si="20"/>
        <v>1058.333333</v>
      </c>
      <c r="T36" s="136">
        <f t="shared" si="20"/>
        <v>1058.333333</v>
      </c>
      <c r="U36" s="140">
        <f t="shared" si="20"/>
        <v>1058.333333</v>
      </c>
      <c r="W36" s="141">
        <f t="shared" ref="W36:X36" si="21">SUM(W37:W39)</f>
        <v>12700</v>
      </c>
      <c r="X36" s="112">
        <f t="shared" si="21"/>
        <v>6624.94</v>
      </c>
      <c r="Y36" s="55"/>
      <c r="Z36" s="55"/>
      <c r="AA36" s="55"/>
      <c r="AB36" s="55"/>
      <c r="AC36" s="55"/>
      <c r="AD36" s="55"/>
    </row>
    <row r="37">
      <c r="A37" s="150" t="s">
        <v>107</v>
      </c>
      <c r="B37" s="144">
        <f>Mensuel!$G$24+Mensuel!$O$19</f>
        <v>848.3333333</v>
      </c>
      <c r="C37" s="115">
        <v>808.3333333333334</v>
      </c>
      <c r="D37" s="144">
        <f>Mensuel!$G$24+Mensuel!$O$19</f>
        <v>848.3333333</v>
      </c>
      <c r="E37" s="115">
        <v>675.0</v>
      </c>
      <c r="F37" s="144">
        <f>Mensuel!$G$24+Mensuel!$O$19</f>
        <v>848.3333333</v>
      </c>
      <c r="G37" s="115">
        <f>22.99+43.12+111.24+8.32+80.46+7.19+122.37+29.03+20.09+19.16+93.72+36.5+124.47+9.51+4.97+62.7+94.08+2.52+11.87</f>
        <v>904.31</v>
      </c>
      <c r="H37" s="144">
        <f>Mensuel!$G$24+Mensuel!$O$19</f>
        <v>848.3333333</v>
      </c>
      <c r="I37" s="117">
        <v>919.2</v>
      </c>
      <c r="J37" s="143">
        <f>Mensuel!$G$24+Mensuel!$O$19</f>
        <v>848.3333333</v>
      </c>
      <c r="K37" s="117">
        <f>965.86</f>
        <v>965.86</v>
      </c>
      <c r="L37" s="143">
        <f>Mensuel!$G$24+Mensuel!$O$19</f>
        <v>848.3333333</v>
      </c>
      <c r="M37" s="117">
        <f>463.23+40.1+23.99+93.2+10.49+141.24+8.61+35.8+7.27</f>
        <v>823.93</v>
      </c>
      <c r="N37" s="144">
        <f>Mensuel!$G$24+Mensuel!$O$19</f>
        <v>848.3333333</v>
      </c>
      <c r="O37" s="119">
        <f>598.15+115</f>
        <v>713.15</v>
      </c>
      <c r="P37" s="142">
        <f>Mensuel!$G$24+Mensuel!$O$19</f>
        <v>848.3333333</v>
      </c>
      <c r="Q37" s="115"/>
      <c r="R37" s="144">
        <f>Mensuel!$G$24+Mensuel!$O$19</f>
        <v>848.3333333</v>
      </c>
      <c r="S37" s="144">
        <f>Mensuel!$G$24+Mensuel!$O$19</f>
        <v>848.3333333</v>
      </c>
      <c r="T37" s="144">
        <f>Mensuel!$G$24+Mensuel!$O$19</f>
        <v>848.3333333</v>
      </c>
      <c r="U37" s="144">
        <f>Mensuel!$G$24+Mensuel!$O$19</f>
        <v>848.3333333</v>
      </c>
      <c r="W37" s="121">
        <f t="shared" ref="W37:W39" si="22">SUM(B37,D37,F37,H37,J37,L37,N37,P37,R37,S37,T37,U37)</f>
        <v>10180</v>
      </c>
      <c r="X37" s="173">
        <f t="shared" ref="X37:X39" si="23">SUM(E37,G37,I37,K37,M37,O37,Q37)</f>
        <v>5001.45</v>
      </c>
      <c r="Y37" s="55"/>
      <c r="Z37" s="55"/>
      <c r="AA37" s="55"/>
      <c r="AB37" s="55"/>
      <c r="AC37" s="55"/>
      <c r="AD37" s="55"/>
    </row>
    <row r="38">
      <c r="A38" s="150" t="s">
        <v>108</v>
      </c>
      <c r="B38" s="97">
        <f>Mensuel!$K$17</f>
        <v>100</v>
      </c>
      <c r="C38" s="146">
        <v>100.0</v>
      </c>
      <c r="D38" s="98">
        <f>Mensuel!$K$17</f>
        <v>100</v>
      </c>
      <c r="E38" s="146">
        <f>5.33+21.13+8.03</f>
        <v>34.49</v>
      </c>
      <c r="F38" s="98">
        <f>Mensuel!$K$17</f>
        <v>100</v>
      </c>
      <c r="G38" s="115">
        <f>92.82+11.78+17.73+6.88+24.35+6.99+21.83+50.9</f>
        <v>233.28</v>
      </c>
      <c r="H38" s="98">
        <f>Mensuel!$K$17</f>
        <v>100</v>
      </c>
      <c r="I38" s="117">
        <v>58.37</v>
      </c>
      <c r="J38" s="98">
        <f>Mensuel!$K$17</f>
        <v>100</v>
      </c>
      <c r="K38" s="117">
        <v>230.47</v>
      </c>
      <c r="L38" s="98">
        <f>Mensuel!$K$17</f>
        <v>100</v>
      </c>
      <c r="M38" s="117">
        <f>168.23+21.13+16</f>
        <v>205.36</v>
      </c>
      <c r="N38" s="131">
        <f>Mensuel!$K$17</f>
        <v>100</v>
      </c>
      <c r="O38" s="52">
        <f>138.41+29</f>
        <v>167.41</v>
      </c>
      <c r="P38" s="97">
        <f>Mensuel!$K$17</f>
        <v>100</v>
      </c>
      <c r="Q38" s="146"/>
      <c r="R38" s="98">
        <f>Mensuel!$K$17</f>
        <v>100</v>
      </c>
      <c r="S38" s="98">
        <f>Mensuel!$K$17</f>
        <v>100</v>
      </c>
      <c r="T38" s="98">
        <f>Mensuel!$K$17</f>
        <v>100</v>
      </c>
      <c r="U38" s="91">
        <f>Mensuel!$K$17</f>
        <v>100</v>
      </c>
      <c r="W38" s="121">
        <f t="shared" si="22"/>
        <v>1200</v>
      </c>
      <c r="X38" s="173">
        <f t="shared" si="23"/>
        <v>929.38</v>
      </c>
      <c r="Y38" s="55"/>
      <c r="Z38" s="55"/>
      <c r="AA38" s="55"/>
      <c r="AB38" s="55"/>
      <c r="AC38" s="55"/>
      <c r="AD38" s="55"/>
    </row>
    <row r="39">
      <c r="A39" s="150" t="s">
        <v>109</v>
      </c>
      <c r="B39" s="142">
        <f>Mensuel!$G$26</f>
        <v>110</v>
      </c>
      <c r="C39" s="115">
        <v>110.0</v>
      </c>
      <c r="D39" s="143">
        <f>Mensuel!$G$26</f>
        <v>110</v>
      </c>
      <c r="E39" s="115">
        <f>38.42+48.82+36.17+63.69+20.67+22.23</f>
        <v>230</v>
      </c>
      <c r="F39" s="143">
        <f>Mensuel!$G$26</f>
        <v>110</v>
      </c>
      <c r="G39" s="115">
        <f>13.44+21.24+11.63+31.56+17.81</f>
        <v>95.68</v>
      </c>
      <c r="H39" s="143">
        <f>Mensuel!$G$26</f>
        <v>110</v>
      </c>
      <c r="I39" s="117">
        <v>172.42</v>
      </c>
      <c r="J39" s="143">
        <f>Mensuel!$G$26</f>
        <v>110</v>
      </c>
      <c r="K39" s="117">
        <v>55.1</v>
      </c>
      <c r="L39" s="143">
        <f>Mensuel!$G$26</f>
        <v>110</v>
      </c>
      <c r="M39" s="117">
        <v>81.21</v>
      </c>
      <c r="N39" s="144">
        <f>Mensuel!$G$26</f>
        <v>110</v>
      </c>
      <c r="O39" s="119">
        <v>59.7</v>
      </c>
      <c r="P39" s="142">
        <f>Mensuel!$G$26</f>
        <v>110</v>
      </c>
      <c r="Q39" s="115"/>
      <c r="R39" s="143">
        <f>Mensuel!$G$26</f>
        <v>110</v>
      </c>
      <c r="S39" s="143">
        <f>Mensuel!$G$26</f>
        <v>110</v>
      </c>
      <c r="T39" s="143">
        <f>Mensuel!$G$26</f>
        <v>110</v>
      </c>
      <c r="U39" s="145">
        <f>Mensuel!$G$26</f>
        <v>110</v>
      </c>
      <c r="W39" s="121">
        <f t="shared" si="22"/>
        <v>1320</v>
      </c>
      <c r="X39" s="173">
        <f t="shared" si="23"/>
        <v>694.11</v>
      </c>
      <c r="Y39" s="55"/>
      <c r="Z39" s="55"/>
      <c r="AA39" s="55"/>
      <c r="AB39" s="55"/>
      <c r="AC39" s="55"/>
      <c r="AD39" s="55"/>
    </row>
    <row r="40">
      <c r="A40" s="150"/>
      <c r="B40" s="97"/>
      <c r="C40" s="98"/>
      <c r="D40" s="98"/>
      <c r="E40" s="98"/>
      <c r="F40" s="98"/>
      <c r="G40" s="98"/>
      <c r="H40" s="98"/>
      <c r="I40" s="91"/>
      <c r="J40" s="98"/>
      <c r="K40" s="91"/>
      <c r="L40" s="98"/>
      <c r="M40" s="91"/>
      <c r="N40" s="131"/>
      <c r="O40" s="132"/>
      <c r="P40" s="97"/>
      <c r="Q40" s="98"/>
      <c r="R40" s="98"/>
      <c r="S40" s="98"/>
      <c r="T40" s="98"/>
      <c r="U40" s="91"/>
      <c r="W40" s="121"/>
      <c r="X40" s="174"/>
      <c r="Y40" s="55"/>
      <c r="Z40" s="55"/>
      <c r="AA40" s="55"/>
      <c r="AB40" s="55"/>
      <c r="AC40" s="55"/>
      <c r="AD40" s="55"/>
    </row>
    <row r="41">
      <c r="A41" s="149" t="s">
        <v>111</v>
      </c>
      <c r="B41" s="134">
        <f>SUM(B42:B46)</f>
        <v>186.38</v>
      </c>
      <c r="C41" s="135">
        <f>sum(C42:C46)</f>
        <v>165.93</v>
      </c>
      <c r="D41" s="136">
        <f t="shared" ref="D41:F41" si="24">SUM(D42:D46)</f>
        <v>186.38</v>
      </c>
      <c r="E41" s="135">
        <f t="shared" si="24"/>
        <v>166.72</v>
      </c>
      <c r="F41" s="136">
        <f t="shared" si="24"/>
        <v>186.38</v>
      </c>
      <c r="G41" s="135">
        <f>sum(G42:G46)</f>
        <v>166.72</v>
      </c>
      <c r="H41" s="136">
        <f>SUM(H42:H46)</f>
        <v>186.38</v>
      </c>
      <c r="I41" s="137">
        <f>sum(I42:I46)</f>
        <v>165.93</v>
      </c>
      <c r="J41" s="136">
        <f>SUM(J42:J46)</f>
        <v>186.38</v>
      </c>
      <c r="K41" s="137">
        <f>sum(K42:K46)</f>
        <v>165.93</v>
      </c>
      <c r="L41" s="136">
        <f>SUM(L42:L46)</f>
        <v>186.38</v>
      </c>
      <c r="M41" s="137">
        <f>sum(M42:M46)</f>
        <v>165.93</v>
      </c>
      <c r="N41" s="138">
        <f>SUM(N42:N46)</f>
        <v>186.38</v>
      </c>
      <c r="O41" s="139">
        <f>sum(O42:O46)</f>
        <v>165.93</v>
      </c>
      <c r="P41" s="134">
        <f>SUM(P42:P46)</f>
        <v>186.38</v>
      </c>
      <c r="Q41" s="135">
        <f>sum(Q42:Q46)</f>
        <v>165.93</v>
      </c>
      <c r="R41" s="136">
        <f t="shared" ref="R41:U41" si="25">SUM(R42:R46)</f>
        <v>186.38</v>
      </c>
      <c r="S41" s="136">
        <f t="shared" si="25"/>
        <v>158.71</v>
      </c>
      <c r="T41" s="136">
        <f t="shared" si="25"/>
        <v>158.71</v>
      </c>
      <c r="U41" s="140">
        <f t="shared" si="25"/>
        <v>158.71</v>
      </c>
      <c r="W41" s="141">
        <f t="shared" ref="W41:X41" si="26">SUM(W42:W46)</f>
        <v>2153.55</v>
      </c>
      <c r="X41" s="112">
        <f t="shared" si="26"/>
        <v>1163.09</v>
      </c>
      <c r="Y41" s="55"/>
      <c r="Z41" s="55"/>
      <c r="AA41" s="55"/>
      <c r="AB41" s="55"/>
      <c r="AC41" s="55"/>
      <c r="AD41" s="55"/>
    </row>
    <row r="42">
      <c r="A42" s="150" t="s">
        <v>20</v>
      </c>
      <c r="B42" s="97">
        <f>Mensuel!$G$16</f>
        <v>24.13</v>
      </c>
      <c r="C42" s="146">
        <v>19.53</v>
      </c>
      <c r="D42" s="98">
        <f>Mensuel!$G$16</f>
        <v>24.13</v>
      </c>
      <c r="E42" s="115">
        <v>19.53</v>
      </c>
      <c r="F42" s="98">
        <f>Mensuel!$G$16</f>
        <v>24.13</v>
      </c>
      <c r="G42" s="115">
        <v>19.53</v>
      </c>
      <c r="H42" s="98">
        <f>Mensuel!$G$16</f>
        <v>24.13</v>
      </c>
      <c r="I42" s="117">
        <v>19.53</v>
      </c>
      <c r="J42" s="98">
        <f>Mensuel!$G$16</f>
        <v>24.13</v>
      </c>
      <c r="K42" s="117">
        <v>19.53</v>
      </c>
      <c r="L42" s="98">
        <f>Mensuel!$G$16</f>
        <v>24.13</v>
      </c>
      <c r="M42" s="117">
        <v>19.53</v>
      </c>
      <c r="N42" s="131">
        <f>Mensuel!$G$16</f>
        <v>24.13</v>
      </c>
      <c r="O42" s="119">
        <v>19.53</v>
      </c>
      <c r="P42" s="97">
        <f>Mensuel!$G$16</f>
        <v>24.13</v>
      </c>
      <c r="Q42" s="115">
        <v>19.53</v>
      </c>
      <c r="R42" s="98">
        <f>Mensuel!$G$16</f>
        <v>24.13</v>
      </c>
      <c r="S42" s="98">
        <f>Mensuel!$G$16</f>
        <v>24.13</v>
      </c>
      <c r="T42" s="98">
        <f>Mensuel!$G$16</f>
        <v>24.13</v>
      </c>
      <c r="U42" s="91">
        <f>Mensuel!$G$16</f>
        <v>24.13</v>
      </c>
      <c r="W42" s="121">
        <f t="shared" ref="W42:W46" si="27">SUM(B42,D42,F42,H42,J42,L42,N42,P42,R42,S42,T42,U42)</f>
        <v>289.56</v>
      </c>
      <c r="X42" s="173">
        <f t="shared" ref="X42:X46" si="28">SUM(E42,G42,I42,K42,M42,O42,Q42)</f>
        <v>136.71</v>
      </c>
      <c r="Y42" s="55"/>
      <c r="Z42" s="55"/>
      <c r="AA42" s="55"/>
      <c r="AB42" s="55"/>
      <c r="AC42" s="55"/>
      <c r="AD42" s="55"/>
    </row>
    <row r="43">
      <c r="A43" s="150" t="s">
        <v>24</v>
      </c>
      <c r="B43" s="97">
        <f>Mensuel!$G$17</f>
        <v>31.02</v>
      </c>
      <c r="C43" s="146">
        <v>18.96</v>
      </c>
      <c r="D43" s="98">
        <f>Mensuel!$G$17</f>
        <v>31.02</v>
      </c>
      <c r="E43" s="115">
        <v>18.96</v>
      </c>
      <c r="F43" s="98">
        <f>Mensuel!$G$17</f>
        <v>31.02</v>
      </c>
      <c r="G43" s="115">
        <v>18.96</v>
      </c>
      <c r="H43" s="98">
        <f>Mensuel!$G$17</f>
        <v>31.02</v>
      </c>
      <c r="I43" s="117">
        <v>18.96</v>
      </c>
      <c r="J43" s="98">
        <f>Mensuel!$G$17</f>
        <v>31.02</v>
      </c>
      <c r="K43" s="117">
        <v>18.96</v>
      </c>
      <c r="L43" s="98">
        <f>Mensuel!$G$17</f>
        <v>31.02</v>
      </c>
      <c r="M43" s="117">
        <v>18.96</v>
      </c>
      <c r="N43" s="131">
        <f>Mensuel!$G$17</f>
        <v>31.02</v>
      </c>
      <c r="O43" s="119">
        <v>18.96</v>
      </c>
      <c r="P43" s="97">
        <f>Mensuel!$G$17</f>
        <v>31.02</v>
      </c>
      <c r="Q43" s="115">
        <v>18.96</v>
      </c>
      <c r="R43" s="98">
        <f>Mensuel!$G$17</f>
        <v>31.02</v>
      </c>
      <c r="S43" s="98">
        <f>Mensuel!$G$17</f>
        <v>31.02</v>
      </c>
      <c r="T43" s="98">
        <f>Mensuel!$G$17</f>
        <v>31.02</v>
      </c>
      <c r="U43" s="91">
        <f>Mensuel!$G$17</f>
        <v>31.02</v>
      </c>
      <c r="W43" s="121">
        <f t="shared" si="27"/>
        <v>372.24</v>
      </c>
      <c r="X43" s="173">
        <f t="shared" si="28"/>
        <v>132.72</v>
      </c>
      <c r="Y43" s="55"/>
      <c r="Z43" s="55"/>
      <c r="AA43" s="55"/>
      <c r="AB43" s="55"/>
      <c r="AC43" s="55"/>
      <c r="AD43" s="55"/>
    </row>
    <row r="44">
      <c r="A44" s="150" t="s">
        <v>30</v>
      </c>
      <c r="B44" s="97">
        <f>Mensuel!$G$19</f>
        <v>11.49</v>
      </c>
      <c r="C44" s="146">
        <v>11.49</v>
      </c>
      <c r="D44" s="98">
        <f>Mensuel!$G$19</f>
        <v>11.49</v>
      </c>
      <c r="E44" s="115">
        <v>11.49</v>
      </c>
      <c r="F44" s="98">
        <f>Mensuel!$G$19</f>
        <v>11.49</v>
      </c>
      <c r="G44" s="115">
        <v>11.49</v>
      </c>
      <c r="H44" s="98">
        <f>Mensuel!$G$19</f>
        <v>11.49</v>
      </c>
      <c r="I44" s="117">
        <v>11.49</v>
      </c>
      <c r="J44" s="98">
        <f>Mensuel!$G$19</f>
        <v>11.49</v>
      </c>
      <c r="K44" s="117">
        <v>11.49</v>
      </c>
      <c r="L44" s="98">
        <f>Mensuel!$G$19</f>
        <v>11.49</v>
      </c>
      <c r="M44" s="117">
        <v>11.49</v>
      </c>
      <c r="N44" s="131">
        <f>Mensuel!$G$19</f>
        <v>11.49</v>
      </c>
      <c r="O44" s="119">
        <v>11.49</v>
      </c>
      <c r="P44" s="97">
        <f>Mensuel!$G$19</f>
        <v>11.49</v>
      </c>
      <c r="Q44" s="115">
        <v>11.49</v>
      </c>
      <c r="R44" s="98">
        <f>Mensuel!$G$19</f>
        <v>11.49</v>
      </c>
      <c r="S44" s="98">
        <f>Mensuel!$G$19</f>
        <v>11.49</v>
      </c>
      <c r="T44" s="98">
        <f>Mensuel!$G$19</f>
        <v>11.49</v>
      </c>
      <c r="U44" s="91">
        <f>Mensuel!$G$19</f>
        <v>11.49</v>
      </c>
      <c r="W44" s="121">
        <f t="shared" si="27"/>
        <v>137.88</v>
      </c>
      <c r="X44" s="173">
        <f t="shared" si="28"/>
        <v>80.43</v>
      </c>
      <c r="Y44" s="55"/>
      <c r="Z44" s="55"/>
      <c r="AA44" s="55"/>
      <c r="AB44" s="55"/>
      <c r="AC44" s="55"/>
      <c r="AD44" s="55"/>
    </row>
    <row r="45">
      <c r="A45" s="150" t="s">
        <v>112</v>
      </c>
      <c r="B45" s="97">
        <v>112.74000000000001</v>
      </c>
      <c r="C45" s="146">
        <v>112.74000000000001</v>
      </c>
      <c r="D45" s="98">
        <v>112.74000000000001</v>
      </c>
      <c r="E45" s="146">
        <f>30.5+31.65+50.59</f>
        <v>112.74</v>
      </c>
      <c r="F45" s="98">
        <v>112.74000000000001</v>
      </c>
      <c r="G45" s="146">
        <v>112.74000000000001</v>
      </c>
      <c r="H45" s="98">
        <v>112.74000000000001</v>
      </c>
      <c r="I45" s="147">
        <f>30.5+31.65+50.59</f>
        <v>112.74</v>
      </c>
      <c r="J45" s="98">
        <v>112.74000000000001</v>
      </c>
      <c r="K45" s="147">
        <f>30.5+31.65+50.59</f>
        <v>112.74</v>
      </c>
      <c r="L45" s="98">
        <v>112.74000000000001</v>
      </c>
      <c r="M45" s="147">
        <f>30.5+31.65+50.59</f>
        <v>112.74</v>
      </c>
      <c r="N45" s="131">
        <v>112.74000000000001</v>
      </c>
      <c r="O45" s="155">
        <f>30.5+31.65+50.59</f>
        <v>112.74</v>
      </c>
      <c r="P45" s="97">
        <v>112.74000000000001</v>
      </c>
      <c r="Q45" s="146">
        <f>30.5+31.65+50.59</f>
        <v>112.74</v>
      </c>
      <c r="R45" s="98">
        <v>112.74000000000001</v>
      </c>
      <c r="S45" s="98">
        <f>Mensuel!$K$15</f>
        <v>85.07</v>
      </c>
      <c r="T45" s="98">
        <f>Mensuel!$K$15</f>
        <v>85.07</v>
      </c>
      <c r="U45" s="91">
        <f>Mensuel!$K$15</f>
        <v>85.07</v>
      </c>
      <c r="W45" s="121">
        <f t="shared" si="27"/>
        <v>1269.87</v>
      </c>
      <c r="X45" s="173">
        <f t="shared" si="28"/>
        <v>789.18</v>
      </c>
      <c r="Y45" s="55"/>
      <c r="Z45" s="55"/>
      <c r="AA45" s="55"/>
      <c r="AB45" s="55"/>
      <c r="AC45" s="55"/>
      <c r="AD45" s="55"/>
    </row>
    <row r="46">
      <c r="A46" s="150" t="s">
        <v>130</v>
      </c>
      <c r="B46" s="97">
        <f>Mensuel!$G$18</f>
        <v>7</v>
      </c>
      <c r="C46" s="146">
        <v>3.21</v>
      </c>
      <c r="D46" s="98">
        <f>Mensuel!$G$18</f>
        <v>7</v>
      </c>
      <c r="E46" s="146">
        <f>3.21+0.79</f>
        <v>4</v>
      </c>
      <c r="F46" s="98">
        <f>Mensuel!$G$18</f>
        <v>7</v>
      </c>
      <c r="G46" s="115">
        <v>4.0</v>
      </c>
      <c r="H46" s="98">
        <f>Mensuel!$G$18</f>
        <v>7</v>
      </c>
      <c r="I46" s="117">
        <v>3.21</v>
      </c>
      <c r="J46" s="98">
        <f>Mensuel!$G$18</f>
        <v>7</v>
      </c>
      <c r="K46" s="117">
        <v>3.21</v>
      </c>
      <c r="L46" s="98">
        <f>Mensuel!$G$18</f>
        <v>7</v>
      </c>
      <c r="M46" s="117">
        <v>3.21</v>
      </c>
      <c r="N46" s="131">
        <f>Mensuel!$G$18</f>
        <v>7</v>
      </c>
      <c r="O46" s="119">
        <v>3.21</v>
      </c>
      <c r="P46" s="97">
        <f>Mensuel!$G$18</f>
        <v>7</v>
      </c>
      <c r="Q46" s="115">
        <v>3.21</v>
      </c>
      <c r="R46" s="98">
        <f>Mensuel!$G$18</f>
        <v>7</v>
      </c>
      <c r="S46" s="98">
        <f>Mensuel!$G$18</f>
        <v>7</v>
      </c>
      <c r="T46" s="98">
        <f>Mensuel!$G$18</f>
        <v>7</v>
      </c>
      <c r="U46" s="91">
        <f>Mensuel!$G$18</f>
        <v>7</v>
      </c>
      <c r="W46" s="121">
        <f t="shared" si="27"/>
        <v>84</v>
      </c>
      <c r="X46" s="173">
        <f t="shared" si="28"/>
        <v>24.05</v>
      </c>
      <c r="Y46" s="55"/>
      <c r="Z46" s="55"/>
      <c r="AA46" s="55"/>
      <c r="AB46" s="55"/>
      <c r="AC46" s="55"/>
      <c r="AD46" s="55"/>
    </row>
    <row r="47">
      <c r="A47" s="150"/>
      <c r="B47" s="97"/>
      <c r="C47" s="98"/>
      <c r="D47" s="98"/>
      <c r="E47" s="98"/>
      <c r="F47" s="98"/>
      <c r="G47" s="98"/>
      <c r="H47" s="98"/>
      <c r="I47" s="91"/>
      <c r="J47" s="98"/>
      <c r="K47" s="91"/>
      <c r="L47" s="98"/>
      <c r="M47" s="91"/>
      <c r="N47" s="131"/>
      <c r="O47" s="132"/>
      <c r="P47" s="97"/>
      <c r="Q47" s="98"/>
      <c r="R47" s="98"/>
      <c r="S47" s="98"/>
      <c r="T47" s="98"/>
      <c r="U47" s="91"/>
      <c r="W47" s="121"/>
      <c r="X47" s="174"/>
      <c r="Y47" s="55"/>
      <c r="Z47" s="55"/>
      <c r="AA47" s="55"/>
      <c r="AB47" s="55"/>
      <c r="AC47" s="55"/>
      <c r="AD47" s="55"/>
    </row>
    <row r="48">
      <c r="A48" s="149" t="s">
        <v>114</v>
      </c>
      <c r="B48" s="134">
        <f t="shared" ref="B48:D48" si="29">SUM(B49:B75)</f>
        <v>213</v>
      </c>
      <c r="C48" s="135">
        <f t="shared" si="29"/>
        <v>213</v>
      </c>
      <c r="D48" s="136">
        <f t="shared" si="29"/>
        <v>533</v>
      </c>
      <c r="E48" s="135">
        <f>SUM(E49:E60)</f>
        <v>1106.56</v>
      </c>
      <c r="F48" s="136">
        <f t="shared" ref="F48:U48" si="30">SUM(F49:F75)</f>
        <v>853</v>
      </c>
      <c r="G48" s="135">
        <f t="shared" si="30"/>
        <v>3702.11</v>
      </c>
      <c r="H48" s="136">
        <f t="shared" si="30"/>
        <v>1515</v>
      </c>
      <c r="I48" s="137">
        <f t="shared" si="30"/>
        <v>1860.41</v>
      </c>
      <c r="J48" s="136">
        <f t="shared" si="30"/>
        <v>652.08</v>
      </c>
      <c r="K48" s="137">
        <f t="shared" si="30"/>
        <v>1216.02</v>
      </c>
      <c r="L48" s="136">
        <f t="shared" si="30"/>
        <v>218</v>
      </c>
      <c r="M48" s="137">
        <f t="shared" si="30"/>
        <v>968.47</v>
      </c>
      <c r="N48" s="138">
        <f t="shared" si="30"/>
        <v>386.31</v>
      </c>
      <c r="O48" s="139">
        <f t="shared" si="30"/>
        <v>2079.74</v>
      </c>
      <c r="P48" s="134">
        <f t="shared" si="30"/>
        <v>1908</v>
      </c>
      <c r="Q48" s="135">
        <f t="shared" si="30"/>
        <v>0</v>
      </c>
      <c r="R48" s="136">
        <f t="shared" si="30"/>
        <v>1480</v>
      </c>
      <c r="S48" s="136">
        <f t="shared" si="30"/>
        <v>240</v>
      </c>
      <c r="T48" s="136">
        <f t="shared" si="30"/>
        <v>248</v>
      </c>
      <c r="U48" s="140">
        <f t="shared" si="30"/>
        <v>0</v>
      </c>
      <c r="W48" s="141">
        <f t="shared" ref="W48:X48" si="31">SUM(W49:W59)</f>
        <v>7728.64</v>
      </c>
      <c r="X48" s="112">
        <f t="shared" si="31"/>
        <v>8834.46</v>
      </c>
      <c r="Y48" s="55"/>
      <c r="Z48" s="55"/>
      <c r="AA48" s="55"/>
      <c r="AB48" s="55"/>
      <c r="AC48" s="55"/>
      <c r="AD48" s="55"/>
    </row>
    <row r="49">
      <c r="A49" s="150" t="s">
        <v>33</v>
      </c>
      <c r="B49" s="97">
        <v>48.0</v>
      </c>
      <c r="C49" s="146">
        <v>48.0</v>
      </c>
      <c r="D49" s="143">
        <v>48.0</v>
      </c>
      <c r="E49" s="115"/>
      <c r="F49" s="143">
        <v>48.0</v>
      </c>
      <c r="G49" s="115">
        <v>48.0</v>
      </c>
      <c r="H49" s="143"/>
      <c r="I49" s="117"/>
      <c r="J49" s="143">
        <v>48.0</v>
      </c>
      <c r="K49" s="117">
        <v>48.0</v>
      </c>
      <c r="L49" s="143">
        <v>48.0</v>
      </c>
      <c r="M49" s="117">
        <v>48.0</v>
      </c>
      <c r="N49" s="144">
        <v>48.0</v>
      </c>
      <c r="O49" s="119"/>
      <c r="P49" s="142">
        <v>48.0</v>
      </c>
      <c r="Q49" s="115"/>
      <c r="R49" s="143"/>
      <c r="S49" s="143"/>
      <c r="T49" s="143">
        <v>48.0</v>
      </c>
      <c r="U49" s="145"/>
      <c r="W49" s="121">
        <f t="shared" ref="W49:W59" si="32">SUM(B49,D49,F49,H49,J49,L49,N49,P49,R49,S49,T49,U49)</f>
        <v>384</v>
      </c>
      <c r="X49" s="173">
        <f t="shared" ref="X49:X59" si="33">SUM(E49,G49,I49,K49,M49,O49,Q49)</f>
        <v>144</v>
      </c>
      <c r="Y49" s="55"/>
      <c r="Z49" s="55"/>
      <c r="AA49" s="55"/>
      <c r="AB49" s="55"/>
      <c r="AC49" s="55"/>
      <c r="AD49" s="55"/>
    </row>
    <row r="50">
      <c r="A50" s="150" t="s">
        <v>131</v>
      </c>
      <c r="B50" s="97"/>
      <c r="C50" s="146"/>
      <c r="D50" s="143"/>
      <c r="E50" s="115"/>
      <c r="F50" s="143">
        <v>20.0</v>
      </c>
      <c r="G50" s="115">
        <f>100-80</f>
        <v>20</v>
      </c>
      <c r="H50" s="143">
        <v>20.0</v>
      </c>
      <c r="I50" s="117">
        <v>20.0</v>
      </c>
      <c r="J50" s="98"/>
      <c r="K50" s="117"/>
      <c r="L50" s="143">
        <v>20.0</v>
      </c>
      <c r="M50" s="117"/>
      <c r="N50" s="144"/>
      <c r="O50" s="119"/>
      <c r="P50" s="97"/>
      <c r="Q50" s="115"/>
      <c r="R50" s="98"/>
      <c r="S50" s="143">
        <v>100.0</v>
      </c>
      <c r="T50" s="98"/>
      <c r="U50" s="91"/>
      <c r="W50" s="121">
        <f t="shared" si="32"/>
        <v>160</v>
      </c>
      <c r="X50" s="173">
        <f t="shared" si="33"/>
        <v>40</v>
      </c>
      <c r="Y50" s="55"/>
      <c r="Z50" s="55"/>
      <c r="AA50" s="55"/>
      <c r="AB50" s="55"/>
      <c r="AC50" s="55"/>
      <c r="AD50" s="55"/>
    </row>
    <row r="51">
      <c r="A51" s="151" t="s">
        <v>116</v>
      </c>
      <c r="B51" s="97"/>
      <c r="C51" s="146"/>
      <c r="D51" s="143"/>
      <c r="E51" s="115"/>
      <c r="F51" s="98"/>
      <c r="G51" s="146"/>
      <c r="H51" s="143"/>
      <c r="I51" s="147"/>
      <c r="J51" s="98"/>
      <c r="K51" s="147"/>
      <c r="L51" s="98"/>
      <c r="M51" s="147"/>
      <c r="N51" s="131"/>
      <c r="O51" s="155"/>
      <c r="P51" s="97"/>
      <c r="Q51" s="146"/>
      <c r="R51" s="98"/>
      <c r="S51" s="143"/>
      <c r="T51" s="98"/>
      <c r="U51" s="91"/>
      <c r="W51" s="121">
        <f t="shared" si="32"/>
        <v>0</v>
      </c>
      <c r="X51" s="173">
        <f t="shared" si="33"/>
        <v>0</v>
      </c>
      <c r="Y51" s="55"/>
      <c r="Z51" s="55"/>
      <c r="AA51" s="55"/>
      <c r="AB51" s="55"/>
      <c r="AC51" s="55"/>
      <c r="AD51" s="55"/>
    </row>
    <row r="52">
      <c r="A52" s="150" t="s">
        <v>117</v>
      </c>
      <c r="B52" s="97"/>
      <c r="C52" s="146"/>
      <c r="D52" s="143"/>
      <c r="E52" s="115">
        <v>150.0</v>
      </c>
      <c r="F52" s="143">
        <v>150.0</v>
      </c>
      <c r="G52" s="115">
        <f>1500+337+625</f>
        <v>2462</v>
      </c>
      <c r="H52" s="143">
        <v>1000.0</v>
      </c>
      <c r="I52" s="117">
        <f>350+650</f>
        <v>1000</v>
      </c>
      <c r="J52" s="143"/>
      <c r="K52" s="117"/>
      <c r="L52" s="98"/>
      <c r="M52" s="117"/>
      <c r="N52" s="131"/>
      <c r="O52" s="119">
        <f>196+75</f>
        <v>271</v>
      </c>
      <c r="P52" s="97"/>
      <c r="Q52" s="115"/>
      <c r="R52" s="143">
        <v>1140.0</v>
      </c>
      <c r="S52" s="143">
        <v>140.0</v>
      </c>
      <c r="T52" s="98"/>
      <c r="U52" s="91"/>
      <c r="W52" s="121">
        <f t="shared" si="32"/>
        <v>2430</v>
      </c>
      <c r="X52" s="173">
        <f t="shared" si="33"/>
        <v>3883</v>
      </c>
      <c r="Y52" s="55"/>
      <c r="Z52" s="55"/>
      <c r="AA52" s="55"/>
      <c r="AB52" s="55"/>
      <c r="AC52" s="55"/>
      <c r="AD52" s="55"/>
    </row>
    <row r="53">
      <c r="A53" s="150" t="s">
        <v>118</v>
      </c>
      <c r="B53" s="97"/>
      <c r="C53" s="146"/>
      <c r="D53" s="143">
        <v>190.0</v>
      </c>
      <c r="E53" s="115">
        <v>190.0</v>
      </c>
      <c r="F53" s="143"/>
      <c r="G53" s="115"/>
      <c r="H53" s="143">
        <v>220.0</v>
      </c>
      <c r="I53" s="117">
        <v>220.0</v>
      </c>
      <c r="J53" s="98"/>
      <c r="K53" s="117"/>
      <c r="L53" s="98"/>
      <c r="M53" s="117"/>
      <c r="N53" s="131"/>
      <c r="O53" s="119"/>
      <c r="P53" s="97"/>
      <c r="Q53" s="115"/>
      <c r="R53" s="143">
        <v>240.0</v>
      </c>
      <c r="S53" s="98"/>
      <c r="T53" s="98"/>
      <c r="U53" s="91"/>
      <c r="W53" s="121">
        <f t="shared" si="32"/>
        <v>650</v>
      </c>
      <c r="X53" s="173">
        <f t="shared" si="33"/>
        <v>410</v>
      </c>
      <c r="Y53" s="55"/>
      <c r="Z53" s="55"/>
      <c r="AA53" s="55"/>
      <c r="AB53" s="55"/>
      <c r="AC53" s="55"/>
      <c r="AD53" s="55"/>
    </row>
    <row r="54">
      <c r="A54" s="150" t="s">
        <v>119</v>
      </c>
      <c r="B54" s="142"/>
      <c r="C54" s="115"/>
      <c r="D54" s="143"/>
      <c r="E54" s="115"/>
      <c r="F54" s="143"/>
      <c r="G54" s="115">
        <f>234.55+95.32</f>
        <v>329.87</v>
      </c>
      <c r="H54" s="143"/>
      <c r="I54" s="117"/>
      <c r="J54" s="143">
        <v>181.33</v>
      </c>
      <c r="K54" s="117">
        <f>181.33</f>
        <v>181.33</v>
      </c>
      <c r="L54" s="143"/>
      <c r="M54" s="117">
        <f>78+142</f>
        <v>220</v>
      </c>
      <c r="N54" s="144">
        <v>238.31</v>
      </c>
      <c r="O54" s="119"/>
      <c r="P54" s="142">
        <v>360.0</v>
      </c>
      <c r="Q54" s="115"/>
      <c r="R54" s="98"/>
      <c r="S54" s="98"/>
      <c r="T54" s="98"/>
      <c r="U54" s="91"/>
      <c r="W54" s="121">
        <f t="shared" si="32"/>
        <v>779.64</v>
      </c>
      <c r="X54" s="173">
        <f t="shared" si="33"/>
        <v>731.2</v>
      </c>
      <c r="Y54" s="55"/>
      <c r="Z54" s="55"/>
      <c r="AA54" s="55"/>
      <c r="AB54" s="55"/>
      <c r="AC54" s="55"/>
      <c r="AD54" s="55"/>
    </row>
    <row r="55">
      <c r="A55" s="151" t="s">
        <v>120</v>
      </c>
      <c r="B55" s="97"/>
      <c r="C55" s="146"/>
      <c r="D55" s="98"/>
      <c r="E55" s="146"/>
      <c r="F55" s="98"/>
      <c r="G55" s="146"/>
      <c r="H55" s="98"/>
      <c r="I55" s="147"/>
      <c r="J55" s="98"/>
      <c r="K55" s="147">
        <f>21.82+102.63+12.64+118.4</f>
        <v>255.49</v>
      </c>
      <c r="L55" s="143"/>
      <c r="M55" s="147">
        <f>80.53+4.36+50.58</f>
        <v>135.47</v>
      </c>
      <c r="N55" s="144"/>
      <c r="O55" s="52">
        <v>1808.74</v>
      </c>
      <c r="P55" s="142">
        <v>1500.0</v>
      </c>
      <c r="Q55" s="146"/>
      <c r="R55" s="98"/>
      <c r="S55" s="98"/>
      <c r="T55" s="98"/>
      <c r="U55" s="91"/>
      <c r="W55" s="121">
        <f t="shared" si="32"/>
        <v>1500</v>
      </c>
      <c r="X55" s="173">
        <f t="shared" si="33"/>
        <v>2199.7</v>
      </c>
      <c r="Y55" s="55"/>
      <c r="Z55" s="55"/>
      <c r="AA55" s="55"/>
      <c r="AB55" s="55"/>
      <c r="AC55" s="55"/>
      <c r="AD55" s="55"/>
    </row>
    <row r="56">
      <c r="A56" s="150" t="s">
        <v>121</v>
      </c>
      <c r="B56" s="97"/>
      <c r="C56" s="146"/>
      <c r="D56" s="143">
        <v>205.0</v>
      </c>
      <c r="E56" s="115">
        <v>205.0</v>
      </c>
      <c r="F56" s="143"/>
      <c r="G56" s="115"/>
      <c r="H56" s="98"/>
      <c r="I56" s="117"/>
      <c r="J56" s="143"/>
      <c r="K56" s="117"/>
      <c r="L56" s="143"/>
      <c r="M56" s="117"/>
      <c r="N56" s="144"/>
      <c r="O56" s="119"/>
      <c r="P56" s="142"/>
      <c r="Q56" s="115"/>
      <c r="R56" s="98"/>
      <c r="S56" s="98"/>
      <c r="T56" s="98"/>
      <c r="U56" s="91"/>
      <c r="W56" s="121">
        <f t="shared" si="32"/>
        <v>205</v>
      </c>
      <c r="X56" s="173">
        <f t="shared" si="33"/>
        <v>205</v>
      </c>
      <c r="Y56" s="55"/>
      <c r="Z56" s="55"/>
      <c r="AA56" s="55"/>
      <c r="AB56" s="55"/>
      <c r="AC56" s="55"/>
      <c r="AD56" s="55"/>
    </row>
    <row r="57">
      <c r="A57" s="150" t="s">
        <v>122</v>
      </c>
      <c r="B57" s="97">
        <v>165.0</v>
      </c>
      <c r="C57" s="146">
        <v>165.0</v>
      </c>
      <c r="D57" s="143">
        <v>90.0</v>
      </c>
      <c r="E57" s="115">
        <v>90.0</v>
      </c>
      <c r="F57" s="143">
        <v>535.0</v>
      </c>
      <c r="G57" s="115">
        <f>160+160+215</f>
        <v>535</v>
      </c>
      <c r="H57" s="143">
        <v>240.0</v>
      </c>
      <c r="I57" s="117">
        <f>240+54.04</f>
        <v>294.04</v>
      </c>
      <c r="J57" s="98"/>
      <c r="K57" s="117"/>
      <c r="L57" s="98"/>
      <c r="M57" s="117"/>
      <c r="N57" s="131"/>
      <c r="O57" s="119"/>
      <c r="P57" s="97"/>
      <c r="Q57" s="115"/>
      <c r="R57" s="143">
        <v>100.0</v>
      </c>
      <c r="S57" s="98"/>
      <c r="T57" s="143">
        <v>200.0</v>
      </c>
      <c r="U57" s="91"/>
      <c r="W57" s="121">
        <f t="shared" si="32"/>
        <v>1330</v>
      </c>
      <c r="X57" s="173">
        <f t="shared" si="33"/>
        <v>919.04</v>
      </c>
      <c r="Y57" s="55"/>
      <c r="Z57" s="55"/>
      <c r="AA57" s="55"/>
      <c r="AB57" s="55"/>
      <c r="AC57" s="55"/>
      <c r="AD57" s="55"/>
    </row>
    <row r="58">
      <c r="A58" s="150" t="s">
        <v>123</v>
      </c>
      <c r="B58" s="97"/>
      <c r="C58" s="146"/>
      <c r="D58" s="98"/>
      <c r="E58" s="146"/>
      <c r="F58" s="98"/>
      <c r="G58" s="146"/>
      <c r="H58" s="98"/>
      <c r="I58" s="147"/>
      <c r="J58" s="98"/>
      <c r="K58" s="147"/>
      <c r="L58" s="98"/>
      <c r="M58" s="147"/>
      <c r="N58" s="131"/>
      <c r="O58" s="155"/>
      <c r="P58" s="97"/>
      <c r="Q58" s="146"/>
      <c r="R58" s="98"/>
      <c r="S58" s="98"/>
      <c r="T58" s="98"/>
      <c r="U58" s="91"/>
      <c r="W58" s="121">
        <f t="shared" si="32"/>
        <v>0</v>
      </c>
      <c r="X58" s="173">
        <f t="shared" si="33"/>
        <v>0</v>
      </c>
      <c r="Y58" s="55"/>
      <c r="Z58" s="55"/>
      <c r="AA58" s="55"/>
      <c r="AB58" s="55"/>
      <c r="AC58" s="55"/>
      <c r="AD58" s="55"/>
    </row>
    <row r="59">
      <c r="A59" s="150" t="s">
        <v>124</v>
      </c>
      <c r="B59" s="97"/>
      <c r="C59" s="146"/>
      <c r="D59" s="98"/>
      <c r="E59" s="146"/>
      <c r="F59" s="98"/>
      <c r="G59" s="115">
        <v>60.0</v>
      </c>
      <c r="H59" s="98"/>
      <c r="I59" s="117"/>
      <c r="J59" s="143">
        <v>140.0</v>
      </c>
      <c r="K59" s="117">
        <f>160.97+81.55</f>
        <v>242.52</v>
      </c>
      <c r="L59" s="143">
        <v>150.0</v>
      </c>
      <c r="M59" s="117"/>
      <c r="N59" s="131"/>
      <c r="O59" s="119"/>
      <c r="P59" s="97"/>
      <c r="Q59" s="115"/>
      <c r="R59" s="98"/>
      <c r="S59" s="98"/>
      <c r="T59" s="98"/>
      <c r="U59" s="91"/>
      <c r="W59" s="121">
        <f t="shared" si="32"/>
        <v>290</v>
      </c>
      <c r="X59" s="173">
        <f t="shared" si="33"/>
        <v>302.52</v>
      </c>
      <c r="Y59" s="55"/>
      <c r="Z59" s="55"/>
      <c r="AA59" s="55"/>
      <c r="AB59" s="55"/>
      <c r="AC59" s="55"/>
      <c r="AD59" s="55"/>
    </row>
    <row r="60">
      <c r="A60" s="2" t="s">
        <v>114</v>
      </c>
      <c r="B60" s="97"/>
      <c r="C60" s="124"/>
      <c r="D60" s="152"/>
      <c r="E60" s="156">
        <f>91.97+34.44+1.7+20.68+7.57+2.75+25+sum(30.96-17.22)+46.91+22.98+22.98+82.49+29.99+0.66+50.46+17.24</f>
        <v>471.56</v>
      </c>
      <c r="F60" s="152"/>
      <c r="G60" s="158">
        <f>55.14+12.64+14.94+29.03+11.49+24</f>
        <v>147.24</v>
      </c>
      <c r="H60" s="157"/>
      <c r="I60" s="159">
        <v>294.2</v>
      </c>
      <c r="J60" s="157"/>
      <c r="K60" s="159">
        <f>97.47+28.55+73.53+132.37+22.97+95.3-250+5.74</f>
        <v>205.93</v>
      </c>
      <c r="L60" s="152"/>
      <c r="M60" s="159">
        <f>384+42</f>
        <v>426</v>
      </c>
      <c r="N60" s="165"/>
      <c r="O60" s="161"/>
      <c r="P60" s="162"/>
      <c r="Q60" s="158"/>
      <c r="R60" s="152"/>
      <c r="S60" s="152"/>
      <c r="T60" s="152"/>
      <c r="U60" s="163"/>
      <c r="W60" s="104"/>
      <c r="X60" s="106"/>
    </row>
    <row r="61">
      <c r="A61" s="2" t="s">
        <v>125</v>
      </c>
      <c r="B61" s="97"/>
      <c r="C61" s="152"/>
      <c r="D61" s="152"/>
      <c r="E61" s="156"/>
      <c r="F61" s="157">
        <v>100.0</v>
      </c>
      <c r="G61" s="158">
        <v>100.0</v>
      </c>
      <c r="H61" s="157">
        <v>35.0</v>
      </c>
      <c r="I61" s="159">
        <v>32.17</v>
      </c>
      <c r="J61" s="157"/>
      <c r="K61" s="159"/>
      <c r="L61" s="157"/>
      <c r="M61" s="159"/>
      <c r="N61" s="160">
        <v>100.0</v>
      </c>
      <c r="O61" s="161"/>
      <c r="P61" s="162"/>
      <c r="Q61" s="158"/>
      <c r="R61" s="152"/>
      <c r="S61" s="152"/>
      <c r="T61" s="152"/>
      <c r="U61" s="163"/>
      <c r="W61" s="164"/>
      <c r="X61" s="106"/>
    </row>
    <row r="62">
      <c r="A62" s="2" t="s">
        <v>126</v>
      </c>
      <c r="B62" s="97"/>
      <c r="C62" s="152"/>
      <c r="D62" s="152"/>
      <c r="E62" s="156"/>
      <c r="F62" s="152"/>
      <c r="G62" s="158"/>
      <c r="H62" s="152"/>
      <c r="I62" s="159"/>
      <c r="J62" s="157">
        <v>282.75</v>
      </c>
      <c r="K62" s="159">
        <v>282.75</v>
      </c>
      <c r="L62" s="152"/>
      <c r="M62" s="159">
        <v>139.0</v>
      </c>
      <c r="N62" s="165"/>
      <c r="O62" s="161"/>
      <c r="P62" s="162"/>
      <c r="Q62" s="158"/>
      <c r="R62" s="152"/>
      <c r="S62" s="152"/>
      <c r="T62" s="152"/>
      <c r="U62" s="163"/>
      <c r="W62" s="164"/>
      <c r="X62" s="106"/>
    </row>
    <row r="63">
      <c r="B63" s="97"/>
      <c r="C63" s="152"/>
      <c r="D63" s="152"/>
      <c r="E63" s="156"/>
      <c r="F63" s="152"/>
      <c r="G63" s="158"/>
      <c r="H63" s="152"/>
      <c r="I63" s="159"/>
      <c r="J63" s="152"/>
      <c r="K63" s="159"/>
      <c r="L63" s="152"/>
      <c r="M63" s="159"/>
      <c r="N63" s="165"/>
      <c r="O63" s="161"/>
      <c r="P63" s="162"/>
      <c r="Q63" s="158"/>
      <c r="R63" s="152"/>
      <c r="S63" s="152"/>
      <c r="T63" s="152"/>
      <c r="U63" s="163"/>
      <c r="W63" s="164"/>
      <c r="X63" s="106"/>
    </row>
    <row r="64">
      <c r="B64" s="97"/>
      <c r="C64" s="152"/>
      <c r="D64" s="152"/>
      <c r="E64" s="156"/>
      <c r="F64" s="152"/>
      <c r="G64" s="158"/>
      <c r="H64" s="152"/>
      <c r="I64" s="159"/>
      <c r="J64" s="152"/>
      <c r="K64" s="159"/>
      <c r="L64" s="152"/>
      <c r="M64" s="159"/>
      <c r="N64" s="165"/>
      <c r="O64" s="161"/>
      <c r="P64" s="162"/>
      <c r="Q64" s="158"/>
      <c r="R64" s="152"/>
      <c r="S64" s="152"/>
      <c r="T64" s="152"/>
      <c r="U64" s="163"/>
      <c r="W64" s="164"/>
      <c r="X64" s="106"/>
    </row>
    <row r="65">
      <c r="B65" s="97"/>
      <c r="C65" s="152"/>
      <c r="D65" s="152"/>
      <c r="E65" s="156"/>
      <c r="F65" s="152"/>
      <c r="G65" s="158"/>
      <c r="H65" s="152"/>
      <c r="I65" s="159"/>
      <c r="J65" s="152"/>
      <c r="K65" s="159"/>
      <c r="L65" s="152"/>
      <c r="M65" s="159"/>
      <c r="N65" s="165"/>
      <c r="O65" s="161"/>
      <c r="P65" s="162"/>
      <c r="Q65" s="158"/>
      <c r="R65" s="152"/>
      <c r="S65" s="152"/>
      <c r="T65" s="152"/>
      <c r="U65" s="163"/>
      <c r="W65" s="164"/>
      <c r="X65" s="106"/>
    </row>
    <row r="66">
      <c r="B66" s="97"/>
      <c r="C66" s="152"/>
      <c r="D66" s="152"/>
      <c r="E66" s="156"/>
      <c r="F66" s="152"/>
      <c r="G66" s="158"/>
      <c r="H66" s="152"/>
      <c r="I66" s="159"/>
      <c r="J66" s="152"/>
      <c r="K66" s="159"/>
      <c r="L66" s="152"/>
      <c r="M66" s="159"/>
      <c r="N66" s="165"/>
      <c r="O66" s="161"/>
      <c r="P66" s="162"/>
      <c r="Q66" s="158"/>
      <c r="R66" s="152"/>
      <c r="S66" s="152"/>
      <c r="T66" s="152"/>
      <c r="U66" s="163"/>
      <c r="W66" s="164"/>
      <c r="X66" s="106"/>
    </row>
    <row r="67">
      <c r="B67" s="97"/>
      <c r="C67" s="152"/>
      <c r="D67" s="152"/>
      <c r="E67" s="156"/>
      <c r="F67" s="152"/>
      <c r="G67" s="158"/>
      <c r="H67" s="152"/>
      <c r="I67" s="159"/>
      <c r="J67" s="152"/>
      <c r="K67" s="159"/>
      <c r="L67" s="152"/>
      <c r="M67" s="159"/>
      <c r="N67" s="165"/>
      <c r="O67" s="161"/>
      <c r="P67" s="162"/>
      <c r="Q67" s="158"/>
      <c r="R67" s="152"/>
      <c r="S67" s="152"/>
      <c r="T67" s="152"/>
      <c r="U67" s="163"/>
      <c r="W67" s="164"/>
      <c r="X67" s="106"/>
    </row>
    <row r="68">
      <c r="B68" s="97"/>
      <c r="C68" s="152"/>
      <c r="D68" s="152"/>
      <c r="E68" s="156"/>
      <c r="F68" s="152"/>
      <c r="G68" s="158"/>
      <c r="H68" s="152"/>
      <c r="I68" s="159"/>
      <c r="J68" s="152"/>
      <c r="K68" s="159"/>
      <c r="L68" s="152"/>
      <c r="M68" s="159"/>
      <c r="N68" s="165"/>
      <c r="O68" s="161"/>
      <c r="P68" s="162"/>
      <c r="Q68" s="158"/>
      <c r="R68" s="152"/>
      <c r="S68" s="152"/>
      <c r="T68" s="152"/>
      <c r="U68" s="163"/>
      <c r="W68" s="164"/>
      <c r="X68" s="106"/>
    </row>
    <row r="69">
      <c r="B69" s="97"/>
      <c r="C69" s="152"/>
      <c r="D69" s="152"/>
      <c r="E69" s="156"/>
      <c r="F69" s="152"/>
      <c r="G69" s="158"/>
      <c r="H69" s="152"/>
      <c r="I69" s="159"/>
      <c r="J69" s="152"/>
      <c r="K69" s="159"/>
      <c r="L69" s="152"/>
      <c r="M69" s="159"/>
      <c r="N69" s="165"/>
      <c r="O69" s="161"/>
      <c r="P69" s="162"/>
      <c r="Q69" s="158"/>
      <c r="R69" s="152"/>
      <c r="S69" s="152"/>
      <c r="T69" s="152"/>
      <c r="U69" s="163"/>
      <c r="W69" s="164"/>
      <c r="X69" s="106"/>
    </row>
    <row r="70">
      <c r="B70" s="97"/>
      <c r="C70" s="152"/>
      <c r="D70" s="152"/>
      <c r="E70" s="156"/>
      <c r="F70" s="152"/>
      <c r="G70" s="158"/>
      <c r="H70" s="152"/>
      <c r="I70" s="159"/>
      <c r="J70" s="152"/>
      <c r="K70" s="159"/>
      <c r="L70" s="152"/>
      <c r="M70" s="159"/>
      <c r="N70" s="165"/>
      <c r="O70" s="161"/>
      <c r="P70" s="162"/>
      <c r="Q70" s="158"/>
      <c r="R70" s="152"/>
      <c r="S70" s="152"/>
      <c r="T70" s="152"/>
      <c r="U70" s="163"/>
      <c r="W70" s="164"/>
      <c r="X70" s="106"/>
    </row>
    <row r="71">
      <c r="B71" s="97"/>
      <c r="C71" s="152"/>
      <c r="D71" s="152"/>
      <c r="E71" s="156"/>
      <c r="F71" s="152"/>
      <c r="G71" s="158"/>
      <c r="H71" s="152"/>
      <c r="I71" s="159"/>
      <c r="J71" s="152"/>
      <c r="K71" s="159"/>
      <c r="L71" s="152"/>
      <c r="M71" s="159"/>
      <c r="N71" s="165"/>
      <c r="O71" s="161"/>
      <c r="P71" s="162"/>
      <c r="Q71" s="158"/>
      <c r="R71" s="152"/>
      <c r="S71" s="152"/>
      <c r="T71" s="152"/>
      <c r="U71" s="163"/>
      <c r="W71" s="164"/>
      <c r="X71" s="106"/>
    </row>
    <row r="72">
      <c r="B72" s="97"/>
      <c r="C72" s="152"/>
      <c r="D72" s="152"/>
      <c r="E72" s="156"/>
      <c r="F72" s="152"/>
      <c r="G72" s="158"/>
      <c r="H72" s="152"/>
      <c r="I72" s="159"/>
      <c r="J72" s="152"/>
      <c r="K72" s="159"/>
      <c r="L72" s="152"/>
      <c r="M72" s="159"/>
      <c r="N72" s="165"/>
      <c r="O72" s="161"/>
      <c r="P72" s="162"/>
      <c r="Q72" s="158"/>
      <c r="R72" s="152"/>
      <c r="S72" s="152"/>
      <c r="T72" s="152"/>
      <c r="U72" s="163"/>
      <c r="W72" s="164"/>
      <c r="X72" s="106"/>
    </row>
    <row r="73">
      <c r="B73" s="97"/>
      <c r="C73" s="152"/>
      <c r="D73" s="152"/>
      <c r="E73" s="156"/>
      <c r="F73" s="152"/>
      <c r="G73" s="158"/>
      <c r="H73" s="152"/>
      <c r="I73" s="159"/>
      <c r="J73" s="152"/>
      <c r="K73" s="159"/>
      <c r="L73" s="152"/>
      <c r="M73" s="159"/>
      <c r="N73" s="165"/>
      <c r="O73" s="161"/>
      <c r="P73" s="162"/>
      <c r="Q73" s="158"/>
      <c r="R73" s="152"/>
      <c r="S73" s="152"/>
      <c r="T73" s="152"/>
      <c r="U73" s="163"/>
      <c r="W73" s="164"/>
      <c r="X73" s="106"/>
    </row>
    <row r="74">
      <c r="B74" s="97"/>
      <c r="C74" s="152"/>
      <c r="D74" s="152"/>
      <c r="E74" s="156"/>
      <c r="F74" s="152"/>
      <c r="G74" s="158"/>
      <c r="H74" s="152"/>
      <c r="I74" s="159"/>
      <c r="J74" s="152"/>
      <c r="K74" s="159"/>
      <c r="L74" s="152"/>
      <c r="M74" s="159"/>
      <c r="N74" s="165"/>
      <c r="O74" s="161"/>
      <c r="P74" s="162"/>
      <c r="Q74" s="158"/>
      <c r="R74" s="152"/>
      <c r="S74" s="152"/>
      <c r="T74" s="152"/>
      <c r="U74" s="163"/>
      <c r="W74" s="164"/>
      <c r="X74" s="106"/>
    </row>
    <row r="75">
      <c r="B75" s="97"/>
      <c r="C75" s="152"/>
      <c r="D75" s="152"/>
      <c r="E75" s="156"/>
      <c r="F75" s="152"/>
      <c r="G75" s="158"/>
      <c r="H75" s="152"/>
      <c r="I75" s="159"/>
      <c r="J75" s="152"/>
      <c r="K75" s="159"/>
      <c r="L75" s="152"/>
      <c r="M75" s="159"/>
      <c r="N75" s="165"/>
      <c r="O75" s="161"/>
      <c r="P75" s="162"/>
      <c r="Q75" s="158"/>
      <c r="R75" s="152"/>
      <c r="S75" s="152"/>
      <c r="T75" s="152"/>
      <c r="U75" s="163"/>
      <c r="W75" s="164"/>
      <c r="X75" s="106"/>
    </row>
    <row r="76">
      <c r="E76" s="166"/>
      <c r="J76" s="163"/>
      <c r="L76" s="163"/>
      <c r="N76" s="167"/>
      <c r="O76" s="168"/>
    </row>
    <row r="77">
      <c r="B77" s="90"/>
      <c r="C77" s="90"/>
      <c r="E77" s="166"/>
      <c r="J77" s="163"/>
      <c r="L77" s="163"/>
      <c r="N77" s="167"/>
      <c r="O77" s="168"/>
    </row>
    <row r="78">
      <c r="B78" s="90"/>
      <c r="C78" s="90"/>
      <c r="E78" s="166"/>
      <c r="J78" s="163"/>
      <c r="L78" s="163"/>
      <c r="N78" s="167"/>
      <c r="O78" s="168"/>
    </row>
    <row r="79">
      <c r="B79" s="90"/>
      <c r="C79" s="90"/>
      <c r="E79" s="166"/>
      <c r="J79" s="163"/>
      <c r="L79" s="163"/>
      <c r="N79" s="167"/>
      <c r="O79" s="168"/>
    </row>
    <row r="80">
      <c r="B80" s="90"/>
      <c r="C80" s="90"/>
      <c r="E80" s="166"/>
      <c r="J80" s="163"/>
      <c r="L80" s="163"/>
      <c r="N80" s="167"/>
      <c r="O80" s="168"/>
    </row>
    <row r="81">
      <c r="B81" s="90"/>
      <c r="C81" s="90"/>
      <c r="E81" s="166"/>
      <c r="J81" s="163"/>
      <c r="L81" s="163"/>
      <c r="N81" s="167"/>
      <c r="O81" s="168"/>
    </row>
    <row r="82">
      <c r="B82" s="90"/>
      <c r="C82" s="90"/>
      <c r="E82" s="166"/>
      <c r="J82" s="163"/>
      <c r="L82" s="163"/>
      <c r="N82" s="167"/>
      <c r="O82" s="168"/>
    </row>
    <row r="83">
      <c r="B83" s="90"/>
      <c r="C83" s="90"/>
      <c r="E83" s="166"/>
      <c r="J83" s="163"/>
      <c r="L83" s="163"/>
      <c r="N83" s="167"/>
      <c r="O83" s="168"/>
    </row>
    <row r="84">
      <c r="B84" s="90"/>
      <c r="C84" s="90"/>
      <c r="E84" s="166"/>
      <c r="J84" s="163"/>
      <c r="L84" s="163"/>
      <c r="N84" s="167"/>
      <c r="O84" s="168"/>
    </row>
    <row r="85">
      <c r="B85" s="90"/>
      <c r="C85" s="90"/>
      <c r="E85" s="166"/>
      <c r="J85" s="163"/>
      <c r="L85" s="163"/>
      <c r="N85" s="167"/>
      <c r="O85" s="168"/>
    </row>
    <row r="86">
      <c r="B86" s="90"/>
      <c r="C86" s="90"/>
      <c r="E86" s="166"/>
      <c r="J86" s="163"/>
      <c r="L86" s="163"/>
      <c r="N86" s="167"/>
      <c r="O86" s="168"/>
    </row>
    <row r="87">
      <c r="B87" s="90"/>
      <c r="C87" s="90"/>
      <c r="E87" s="166"/>
      <c r="J87" s="163"/>
      <c r="L87" s="163"/>
      <c r="N87" s="167"/>
      <c r="O87" s="168"/>
    </row>
    <row r="88">
      <c r="B88" s="90"/>
      <c r="C88" s="90"/>
      <c r="E88" s="166"/>
      <c r="J88" s="163"/>
      <c r="L88" s="163"/>
      <c r="N88" s="167"/>
      <c r="O88" s="168"/>
    </row>
    <row r="89">
      <c r="B89" s="90"/>
      <c r="C89" s="90"/>
      <c r="E89" s="166"/>
      <c r="J89" s="163"/>
      <c r="L89" s="163"/>
      <c r="N89" s="167"/>
      <c r="O89" s="168"/>
    </row>
    <row r="90">
      <c r="B90" s="90"/>
      <c r="C90" s="90"/>
      <c r="E90" s="166"/>
      <c r="J90" s="163"/>
      <c r="L90" s="163"/>
      <c r="N90" s="167"/>
      <c r="O90" s="168"/>
    </row>
    <row r="91">
      <c r="B91" s="90"/>
      <c r="C91" s="90"/>
      <c r="E91" s="166"/>
      <c r="J91" s="163"/>
      <c r="L91" s="163"/>
      <c r="N91" s="167"/>
      <c r="O91" s="168"/>
    </row>
    <row r="92">
      <c r="B92" s="90"/>
      <c r="C92" s="90"/>
      <c r="E92" s="166"/>
      <c r="J92" s="163"/>
      <c r="L92" s="163"/>
      <c r="N92" s="167"/>
      <c r="O92" s="168"/>
    </row>
    <row r="93">
      <c r="B93" s="90"/>
      <c r="C93" s="90"/>
      <c r="E93" s="166"/>
      <c r="J93" s="163"/>
      <c r="L93" s="163"/>
      <c r="N93" s="167"/>
      <c r="O93" s="168"/>
    </row>
    <row r="94">
      <c r="B94" s="90"/>
      <c r="C94" s="90"/>
      <c r="E94" s="166"/>
      <c r="J94" s="163"/>
      <c r="L94" s="163"/>
      <c r="N94" s="167"/>
      <c r="O94" s="168"/>
    </row>
    <row r="95">
      <c r="B95" s="90"/>
      <c r="C95" s="90"/>
      <c r="E95" s="166"/>
      <c r="J95" s="163"/>
      <c r="L95" s="163"/>
      <c r="N95" s="167"/>
      <c r="O95" s="168"/>
    </row>
    <row r="96">
      <c r="B96" s="90"/>
      <c r="C96" s="90"/>
      <c r="E96" s="166"/>
      <c r="J96" s="163"/>
      <c r="L96" s="163"/>
      <c r="N96" s="167"/>
      <c r="O96" s="168"/>
    </row>
    <row r="97">
      <c r="B97" s="90"/>
      <c r="C97" s="90"/>
      <c r="E97" s="166"/>
      <c r="J97" s="163"/>
      <c r="L97" s="163"/>
      <c r="N97" s="167"/>
      <c r="O97" s="168"/>
    </row>
    <row r="98">
      <c r="B98" s="90"/>
      <c r="C98" s="90"/>
      <c r="E98" s="166"/>
      <c r="J98" s="163"/>
      <c r="L98" s="163"/>
      <c r="N98" s="167"/>
      <c r="O98" s="168"/>
    </row>
    <row r="99">
      <c r="B99" s="90"/>
      <c r="C99" s="90"/>
      <c r="E99" s="166"/>
      <c r="J99" s="163"/>
      <c r="L99" s="163"/>
      <c r="N99" s="167"/>
      <c r="O99" s="168"/>
    </row>
    <row r="100">
      <c r="B100" s="90"/>
      <c r="C100" s="90"/>
      <c r="E100" s="166"/>
      <c r="J100" s="163"/>
      <c r="L100" s="163"/>
      <c r="N100" s="167"/>
      <c r="O100" s="168"/>
    </row>
    <row r="101">
      <c r="B101" s="90"/>
      <c r="C101" s="90"/>
      <c r="E101" s="166"/>
      <c r="J101" s="163"/>
      <c r="L101" s="163"/>
      <c r="N101" s="167"/>
      <c r="O101" s="168"/>
    </row>
    <row r="102">
      <c r="B102" s="90"/>
      <c r="C102" s="90"/>
      <c r="E102" s="166"/>
      <c r="J102" s="163"/>
      <c r="L102" s="163"/>
      <c r="N102" s="167"/>
      <c r="O102" s="168"/>
    </row>
    <row r="103">
      <c r="B103" s="90"/>
      <c r="C103" s="90"/>
      <c r="E103" s="166"/>
      <c r="J103" s="163"/>
      <c r="L103" s="163"/>
      <c r="N103" s="167"/>
      <c r="O103" s="168"/>
    </row>
    <row r="104">
      <c r="B104" s="90"/>
      <c r="C104" s="90"/>
      <c r="E104" s="166"/>
      <c r="J104" s="163"/>
      <c r="L104" s="163"/>
      <c r="N104" s="167"/>
      <c r="O104" s="168"/>
    </row>
    <row r="105">
      <c r="B105" s="90"/>
      <c r="C105" s="90"/>
      <c r="E105" s="166"/>
      <c r="J105" s="163"/>
      <c r="L105" s="163"/>
      <c r="N105" s="167"/>
      <c r="O105" s="168"/>
    </row>
    <row r="106">
      <c r="B106" s="90"/>
      <c r="C106" s="90"/>
      <c r="E106" s="166"/>
      <c r="J106" s="163"/>
      <c r="L106" s="163"/>
      <c r="N106" s="167"/>
      <c r="O106" s="168"/>
    </row>
    <row r="107">
      <c r="B107" s="90"/>
      <c r="C107" s="90"/>
      <c r="E107" s="166"/>
      <c r="J107" s="163"/>
      <c r="L107" s="163"/>
      <c r="N107" s="167"/>
      <c r="O107" s="168"/>
    </row>
    <row r="108">
      <c r="B108" s="90"/>
      <c r="C108" s="90"/>
      <c r="E108" s="166"/>
      <c r="J108" s="163"/>
      <c r="L108" s="163"/>
      <c r="N108" s="167"/>
      <c r="O108" s="168"/>
    </row>
    <row r="109">
      <c r="B109" s="90"/>
      <c r="C109" s="90"/>
      <c r="E109" s="166"/>
      <c r="J109" s="163"/>
      <c r="L109" s="163"/>
      <c r="N109" s="167"/>
      <c r="O109" s="168"/>
    </row>
    <row r="110">
      <c r="B110" s="90"/>
      <c r="C110" s="90"/>
      <c r="E110" s="166"/>
      <c r="J110" s="163"/>
      <c r="L110" s="163"/>
      <c r="N110" s="167"/>
      <c r="O110" s="168"/>
    </row>
    <row r="111">
      <c r="B111" s="90"/>
      <c r="C111" s="90"/>
      <c r="E111" s="166"/>
      <c r="J111" s="163"/>
      <c r="L111" s="163"/>
      <c r="N111" s="167"/>
      <c r="O111" s="168"/>
    </row>
    <row r="112">
      <c r="B112" s="90"/>
      <c r="C112" s="90"/>
      <c r="E112" s="166"/>
      <c r="J112" s="163"/>
      <c r="L112" s="163"/>
      <c r="N112" s="167"/>
      <c r="O112" s="168"/>
    </row>
    <row r="113">
      <c r="B113" s="90"/>
      <c r="C113" s="90"/>
      <c r="E113" s="166"/>
      <c r="J113" s="163"/>
      <c r="L113" s="163"/>
      <c r="N113" s="167"/>
      <c r="O113" s="168"/>
    </row>
    <row r="114">
      <c r="B114" s="90"/>
      <c r="C114" s="90"/>
      <c r="E114" s="166"/>
      <c r="J114" s="163"/>
      <c r="L114" s="163"/>
      <c r="N114" s="167"/>
      <c r="O114" s="168"/>
    </row>
    <row r="115">
      <c r="B115" s="90"/>
      <c r="C115" s="90"/>
      <c r="E115" s="166"/>
      <c r="J115" s="163"/>
      <c r="L115" s="163"/>
      <c r="N115" s="167"/>
      <c r="O115" s="168"/>
    </row>
    <row r="116">
      <c r="B116" s="90"/>
      <c r="C116" s="90"/>
      <c r="E116" s="166"/>
      <c r="J116" s="163"/>
      <c r="L116" s="163"/>
      <c r="N116" s="167"/>
      <c r="O116" s="168"/>
    </row>
    <row r="117">
      <c r="B117" s="90"/>
      <c r="C117" s="90"/>
      <c r="E117" s="166"/>
      <c r="J117" s="163"/>
      <c r="L117" s="163"/>
      <c r="N117" s="167"/>
      <c r="O117" s="168"/>
    </row>
    <row r="118">
      <c r="B118" s="90"/>
      <c r="C118" s="90"/>
      <c r="E118" s="166"/>
      <c r="J118" s="163"/>
      <c r="L118" s="163"/>
      <c r="N118" s="167"/>
      <c r="O118" s="168"/>
    </row>
    <row r="119">
      <c r="B119" s="90"/>
      <c r="C119" s="90"/>
      <c r="E119" s="166"/>
      <c r="J119" s="163"/>
      <c r="L119" s="163"/>
      <c r="N119" s="167"/>
      <c r="O119" s="168"/>
    </row>
    <row r="120">
      <c r="B120" s="90"/>
      <c r="C120" s="90"/>
      <c r="E120" s="166"/>
      <c r="J120" s="163"/>
      <c r="L120" s="163"/>
      <c r="N120" s="167"/>
      <c r="O120" s="168"/>
    </row>
    <row r="121">
      <c r="B121" s="90"/>
      <c r="C121" s="90"/>
      <c r="E121" s="166"/>
      <c r="J121" s="163"/>
      <c r="L121" s="163"/>
      <c r="N121" s="167"/>
      <c r="O121" s="168"/>
    </row>
    <row r="122">
      <c r="B122" s="90"/>
      <c r="C122" s="90"/>
      <c r="E122" s="166"/>
      <c r="J122" s="163"/>
      <c r="L122" s="163"/>
      <c r="N122" s="167"/>
      <c r="O122" s="168"/>
    </row>
    <row r="123">
      <c r="B123" s="90"/>
      <c r="C123" s="90"/>
      <c r="E123" s="166"/>
      <c r="J123" s="163"/>
      <c r="L123" s="163"/>
      <c r="N123" s="167"/>
      <c r="O123" s="168"/>
    </row>
    <row r="124">
      <c r="B124" s="90"/>
      <c r="C124" s="90"/>
      <c r="E124" s="166"/>
      <c r="J124" s="163"/>
      <c r="L124" s="163"/>
      <c r="N124" s="167"/>
      <c r="O124" s="168"/>
    </row>
    <row r="125">
      <c r="B125" s="90"/>
      <c r="C125" s="90"/>
      <c r="E125" s="166"/>
      <c r="J125" s="163"/>
      <c r="L125" s="163"/>
      <c r="N125" s="167"/>
      <c r="O125" s="168"/>
    </row>
    <row r="126">
      <c r="B126" s="90"/>
      <c r="C126" s="90"/>
      <c r="E126" s="166"/>
      <c r="J126" s="163"/>
      <c r="L126" s="163"/>
      <c r="N126" s="167"/>
      <c r="O126" s="168"/>
    </row>
    <row r="127">
      <c r="B127" s="90"/>
      <c r="C127" s="90"/>
      <c r="E127" s="166"/>
      <c r="J127" s="163"/>
      <c r="L127" s="163"/>
      <c r="N127" s="167"/>
      <c r="O127" s="168"/>
    </row>
    <row r="128">
      <c r="B128" s="90"/>
      <c r="C128" s="90"/>
      <c r="E128" s="166"/>
      <c r="J128" s="163"/>
      <c r="L128" s="163"/>
      <c r="N128" s="167"/>
      <c r="O128" s="168"/>
    </row>
    <row r="129">
      <c r="B129" s="90"/>
      <c r="C129" s="90"/>
      <c r="E129" s="166"/>
      <c r="J129" s="163"/>
      <c r="L129" s="163"/>
      <c r="N129" s="167"/>
      <c r="O129" s="168"/>
    </row>
    <row r="130">
      <c r="B130" s="90"/>
      <c r="C130" s="90"/>
      <c r="E130" s="166"/>
      <c r="J130" s="163"/>
      <c r="L130" s="163"/>
      <c r="N130" s="167"/>
      <c r="O130" s="168"/>
    </row>
    <row r="131">
      <c r="B131" s="90"/>
      <c r="C131" s="90"/>
      <c r="E131" s="166"/>
      <c r="J131" s="163"/>
      <c r="L131" s="163"/>
      <c r="N131" s="167"/>
      <c r="O131" s="168"/>
    </row>
    <row r="132">
      <c r="B132" s="90"/>
      <c r="C132" s="90"/>
      <c r="E132" s="166"/>
      <c r="J132" s="163"/>
      <c r="L132" s="163"/>
      <c r="N132" s="167"/>
      <c r="O132" s="168"/>
    </row>
    <row r="133">
      <c r="B133" s="90"/>
      <c r="C133" s="90"/>
      <c r="E133" s="166"/>
      <c r="J133" s="163"/>
      <c r="L133" s="163"/>
      <c r="N133" s="167"/>
      <c r="O133" s="168"/>
    </row>
    <row r="134">
      <c r="B134" s="90"/>
      <c r="C134" s="90"/>
      <c r="E134" s="166"/>
      <c r="J134" s="163"/>
      <c r="L134" s="163"/>
      <c r="N134" s="167"/>
      <c r="O134" s="168"/>
    </row>
    <row r="135">
      <c r="B135" s="90"/>
      <c r="C135" s="90"/>
      <c r="E135" s="166"/>
      <c r="J135" s="163"/>
      <c r="L135" s="163"/>
      <c r="N135" s="167"/>
      <c r="O135" s="168"/>
    </row>
    <row r="136">
      <c r="B136" s="90"/>
      <c r="C136" s="90"/>
      <c r="E136" s="166"/>
      <c r="J136" s="163"/>
      <c r="L136" s="163"/>
      <c r="N136" s="167"/>
      <c r="O136" s="168"/>
    </row>
    <row r="137">
      <c r="B137" s="90"/>
      <c r="C137" s="90"/>
      <c r="E137" s="166"/>
      <c r="J137" s="163"/>
      <c r="L137" s="163"/>
      <c r="N137" s="167"/>
      <c r="O137" s="168"/>
    </row>
    <row r="138">
      <c r="B138" s="90"/>
      <c r="C138" s="90"/>
      <c r="E138" s="166"/>
      <c r="J138" s="163"/>
      <c r="L138" s="163"/>
      <c r="N138" s="167"/>
      <c r="O138" s="168"/>
    </row>
    <row r="139">
      <c r="B139" s="90"/>
      <c r="C139" s="90"/>
      <c r="E139" s="166"/>
      <c r="J139" s="163"/>
      <c r="L139" s="163"/>
      <c r="N139" s="167"/>
      <c r="O139" s="168"/>
    </row>
    <row r="140">
      <c r="B140" s="90"/>
      <c r="C140" s="90"/>
      <c r="E140" s="166"/>
      <c r="J140" s="163"/>
      <c r="L140" s="163"/>
      <c r="N140" s="167"/>
      <c r="O140" s="168"/>
    </row>
    <row r="141">
      <c r="B141" s="90"/>
      <c r="C141" s="90"/>
      <c r="E141" s="166"/>
      <c r="J141" s="163"/>
      <c r="L141" s="163"/>
      <c r="N141" s="167"/>
      <c r="O141" s="168"/>
    </row>
    <row r="142">
      <c r="B142" s="90"/>
      <c r="C142" s="90"/>
      <c r="E142" s="166"/>
      <c r="J142" s="163"/>
      <c r="L142" s="163"/>
      <c r="N142" s="167"/>
      <c r="O142" s="168"/>
    </row>
    <row r="143">
      <c r="B143" s="90"/>
      <c r="C143" s="90"/>
      <c r="E143" s="166"/>
      <c r="J143" s="163"/>
      <c r="L143" s="163"/>
      <c r="N143" s="167"/>
      <c r="O143" s="168"/>
    </row>
    <row r="144">
      <c r="B144" s="90"/>
      <c r="C144" s="90"/>
      <c r="E144" s="166"/>
      <c r="J144" s="163"/>
      <c r="L144" s="163"/>
      <c r="N144" s="167"/>
      <c r="O144" s="168"/>
    </row>
    <row r="145">
      <c r="B145" s="90"/>
      <c r="C145" s="90"/>
      <c r="E145" s="166"/>
      <c r="J145" s="163"/>
      <c r="L145" s="163"/>
      <c r="N145" s="167"/>
      <c r="O145" s="168"/>
    </row>
    <row r="146">
      <c r="B146" s="90"/>
      <c r="C146" s="90"/>
      <c r="E146" s="166"/>
      <c r="J146" s="163"/>
      <c r="L146" s="163"/>
      <c r="N146" s="167"/>
      <c r="O146" s="168"/>
    </row>
    <row r="147">
      <c r="B147" s="90"/>
      <c r="C147" s="90"/>
      <c r="E147" s="166"/>
      <c r="J147" s="163"/>
      <c r="L147" s="163"/>
      <c r="N147" s="167"/>
      <c r="O147" s="168"/>
    </row>
    <row r="148">
      <c r="B148" s="90"/>
      <c r="C148" s="90"/>
      <c r="E148" s="166"/>
      <c r="J148" s="163"/>
      <c r="L148" s="163"/>
      <c r="N148" s="167"/>
      <c r="O148" s="168"/>
    </row>
    <row r="149">
      <c r="B149" s="90"/>
      <c r="C149" s="90"/>
      <c r="E149" s="166"/>
      <c r="J149" s="163"/>
      <c r="L149" s="163"/>
      <c r="N149" s="167"/>
      <c r="O149" s="168"/>
    </row>
    <row r="150">
      <c r="B150" s="90"/>
      <c r="C150" s="90"/>
      <c r="E150" s="166"/>
      <c r="J150" s="163"/>
      <c r="L150" s="163"/>
      <c r="N150" s="167"/>
      <c r="O150" s="168"/>
    </row>
    <row r="151">
      <c r="B151" s="90"/>
      <c r="C151" s="90"/>
      <c r="E151" s="166"/>
      <c r="J151" s="163"/>
      <c r="L151" s="163"/>
      <c r="N151" s="167"/>
      <c r="O151" s="168"/>
    </row>
    <row r="152">
      <c r="B152" s="90"/>
      <c r="C152" s="90"/>
      <c r="E152" s="166"/>
      <c r="J152" s="163"/>
      <c r="L152" s="163"/>
      <c r="N152" s="167"/>
      <c r="O152" s="168"/>
    </row>
    <row r="153">
      <c r="B153" s="90"/>
      <c r="C153" s="90"/>
      <c r="E153" s="166"/>
      <c r="J153" s="163"/>
      <c r="L153" s="163"/>
      <c r="N153" s="167"/>
      <c r="O153" s="168"/>
    </row>
    <row r="154">
      <c r="B154" s="90"/>
      <c r="C154" s="90"/>
      <c r="E154" s="166"/>
      <c r="J154" s="163"/>
      <c r="L154" s="163"/>
      <c r="N154" s="167"/>
      <c r="O154" s="168"/>
    </row>
    <row r="155">
      <c r="B155" s="90"/>
      <c r="C155" s="90"/>
      <c r="E155" s="166"/>
      <c r="J155" s="163"/>
      <c r="L155" s="163"/>
      <c r="N155" s="167"/>
      <c r="O155" s="168"/>
    </row>
    <row r="156">
      <c r="B156" s="90"/>
      <c r="C156" s="90"/>
      <c r="E156" s="166"/>
      <c r="J156" s="163"/>
      <c r="L156" s="163"/>
      <c r="N156" s="167"/>
      <c r="O156" s="168"/>
    </row>
    <row r="157">
      <c r="B157" s="90"/>
      <c r="C157" s="90"/>
      <c r="E157" s="166"/>
      <c r="J157" s="163"/>
      <c r="L157" s="163"/>
      <c r="N157" s="167"/>
      <c r="O157" s="168"/>
    </row>
    <row r="158">
      <c r="B158" s="90"/>
      <c r="C158" s="90"/>
      <c r="E158" s="166"/>
      <c r="J158" s="163"/>
      <c r="L158" s="163"/>
      <c r="N158" s="167"/>
      <c r="O158" s="168"/>
    </row>
    <row r="159">
      <c r="B159" s="90"/>
      <c r="C159" s="90"/>
      <c r="E159" s="166"/>
      <c r="J159" s="163"/>
      <c r="L159" s="163"/>
      <c r="N159" s="167"/>
      <c r="O159" s="168"/>
    </row>
    <row r="160">
      <c r="B160" s="90"/>
      <c r="C160" s="90"/>
      <c r="E160" s="166"/>
      <c r="J160" s="163"/>
      <c r="L160" s="163"/>
      <c r="N160" s="167"/>
      <c r="O160" s="168"/>
    </row>
    <row r="161">
      <c r="B161" s="90"/>
      <c r="C161" s="90"/>
      <c r="E161" s="166"/>
      <c r="J161" s="163"/>
      <c r="L161" s="163"/>
      <c r="N161" s="167"/>
      <c r="O161" s="168"/>
    </row>
    <row r="162">
      <c r="B162" s="90"/>
      <c r="C162" s="90"/>
      <c r="E162" s="166"/>
      <c r="J162" s="163"/>
      <c r="L162" s="163"/>
      <c r="N162" s="167"/>
      <c r="O162" s="168"/>
    </row>
    <row r="163">
      <c r="B163" s="90"/>
      <c r="C163" s="90"/>
      <c r="E163" s="166"/>
      <c r="J163" s="163"/>
      <c r="L163" s="163"/>
      <c r="N163" s="167"/>
      <c r="O163" s="168"/>
    </row>
    <row r="164">
      <c r="B164" s="90"/>
      <c r="C164" s="90"/>
      <c r="E164" s="166"/>
      <c r="J164" s="163"/>
      <c r="L164" s="163"/>
      <c r="N164" s="167"/>
      <c r="O164" s="168"/>
    </row>
    <row r="165">
      <c r="B165" s="90"/>
      <c r="C165" s="90"/>
      <c r="E165" s="166"/>
      <c r="J165" s="163"/>
      <c r="L165" s="163"/>
      <c r="N165" s="167"/>
      <c r="O165" s="168"/>
    </row>
    <row r="166">
      <c r="B166" s="90"/>
      <c r="C166" s="90"/>
      <c r="E166" s="166"/>
      <c r="J166" s="163"/>
      <c r="L166" s="163"/>
      <c r="N166" s="167"/>
      <c r="O166" s="168"/>
    </row>
    <row r="167">
      <c r="B167" s="90"/>
      <c r="C167" s="90"/>
      <c r="E167" s="166"/>
      <c r="J167" s="163"/>
      <c r="L167" s="163"/>
      <c r="N167" s="167"/>
      <c r="O167" s="168"/>
    </row>
    <row r="168">
      <c r="B168" s="90"/>
      <c r="C168" s="90"/>
      <c r="E168" s="166"/>
      <c r="J168" s="163"/>
      <c r="L168" s="163"/>
      <c r="N168" s="167"/>
      <c r="O168" s="168"/>
    </row>
    <row r="169">
      <c r="B169" s="90"/>
      <c r="C169" s="90"/>
      <c r="E169" s="166"/>
      <c r="J169" s="163"/>
      <c r="L169" s="163"/>
      <c r="N169" s="167"/>
      <c r="O169" s="168"/>
    </row>
    <row r="170">
      <c r="B170" s="90"/>
      <c r="C170" s="90"/>
      <c r="E170" s="166"/>
      <c r="J170" s="163"/>
      <c r="L170" s="163"/>
      <c r="N170" s="167"/>
      <c r="O170" s="168"/>
    </row>
    <row r="171">
      <c r="B171" s="90"/>
      <c r="C171" s="90"/>
      <c r="E171" s="166"/>
      <c r="J171" s="163"/>
      <c r="L171" s="163"/>
      <c r="N171" s="167"/>
      <c r="O171" s="168"/>
    </row>
    <row r="172">
      <c r="B172" s="90"/>
      <c r="C172" s="90"/>
      <c r="E172" s="166"/>
      <c r="J172" s="163"/>
      <c r="L172" s="163"/>
      <c r="N172" s="167"/>
      <c r="O172" s="168"/>
    </row>
    <row r="173">
      <c r="B173" s="90"/>
      <c r="C173" s="90"/>
      <c r="E173" s="166"/>
      <c r="J173" s="163"/>
      <c r="L173" s="163"/>
      <c r="N173" s="167"/>
      <c r="O173" s="168"/>
    </row>
    <row r="174">
      <c r="B174" s="90"/>
      <c r="C174" s="90"/>
      <c r="E174" s="166"/>
      <c r="J174" s="163"/>
      <c r="L174" s="163"/>
      <c r="N174" s="167"/>
      <c r="O174" s="168"/>
    </row>
    <row r="175">
      <c r="B175" s="90"/>
      <c r="C175" s="90"/>
      <c r="E175" s="166"/>
      <c r="J175" s="163"/>
      <c r="L175" s="163"/>
      <c r="N175" s="167"/>
      <c r="O175" s="168"/>
    </row>
    <row r="176">
      <c r="B176" s="90"/>
      <c r="C176" s="90"/>
      <c r="E176" s="166"/>
      <c r="J176" s="163"/>
      <c r="L176" s="163"/>
      <c r="N176" s="167"/>
      <c r="O176" s="168"/>
    </row>
    <row r="177">
      <c r="B177" s="90"/>
      <c r="C177" s="90"/>
      <c r="E177" s="166"/>
      <c r="J177" s="163"/>
      <c r="L177" s="163"/>
      <c r="N177" s="167"/>
      <c r="O177" s="168"/>
    </row>
    <row r="178">
      <c r="B178" s="90"/>
      <c r="C178" s="90"/>
      <c r="E178" s="166"/>
      <c r="J178" s="163"/>
      <c r="L178" s="163"/>
      <c r="N178" s="167"/>
      <c r="O178" s="168"/>
    </row>
    <row r="179">
      <c r="B179" s="90"/>
      <c r="C179" s="90"/>
      <c r="E179" s="166"/>
      <c r="J179" s="163"/>
      <c r="L179" s="163"/>
      <c r="N179" s="167"/>
      <c r="O179" s="168"/>
    </row>
    <row r="180">
      <c r="B180" s="90"/>
      <c r="C180" s="90"/>
      <c r="E180" s="166"/>
      <c r="J180" s="163"/>
      <c r="L180" s="163"/>
      <c r="N180" s="167"/>
      <c r="O180" s="168"/>
    </row>
    <row r="181">
      <c r="B181" s="90"/>
      <c r="C181" s="90"/>
      <c r="E181" s="166"/>
      <c r="J181" s="163"/>
      <c r="L181" s="163"/>
      <c r="N181" s="167"/>
      <c r="O181" s="168"/>
    </row>
    <row r="182">
      <c r="B182" s="90"/>
      <c r="C182" s="90"/>
      <c r="E182" s="166"/>
      <c r="J182" s="163"/>
      <c r="L182" s="163"/>
      <c r="N182" s="167"/>
      <c r="O182" s="168"/>
    </row>
    <row r="183">
      <c r="B183" s="90"/>
      <c r="C183" s="90"/>
      <c r="E183" s="166"/>
      <c r="J183" s="163"/>
      <c r="L183" s="163"/>
      <c r="N183" s="167"/>
      <c r="O183" s="168"/>
    </row>
    <row r="184">
      <c r="B184" s="90"/>
      <c r="C184" s="90"/>
      <c r="E184" s="166"/>
      <c r="J184" s="163"/>
      <c r="L184" s="163"/>
      <c r="N184" s="167"/>
      <c r="O184" s="168"/>
    </row>
    <row r="185">
      <c r="B185" s="90"/>
      <c r="C185" s="90"/>
      <c r="E185" s="166"/>
      <c r="J185" s="163"/>
      <c r="L185" s="163"/>
      <c r="N185" s="167"/>
      <c r="O185" s="168"/>
    </row>
    <row r="186">
      <c r="B186" s="90"/>
      <c r="C186" s="90"/>
      <c r="E186" s="166"/>
      <c r="J186" s="163"/>
      <c r="L186" s="163"/>
      <c r="N186" s="167"/>
      <c r="O186" s="168"/>
    </row>
    <row r="187">
      <c r="B187" s="90"/>
      <c r="C187" s="90"/>
      <c r="E187" s="166"/>
      <c r="J187" s="163"/>
      <c r="L187" s="163"/>
      <c r="N187" s="167"/>
      <c r="O187" s="168"/>
    </row>
    <row r="188">
      <c r="B188" s="90"/>
      <c r="C188" s="90"/>
      <c r="E188" s="166"/>
      <c r="J188" s="163"/>
      <c r="L188" s="163"/>
      <c r="N188" s="167"/>
      <c r="O188" s="168"/>
    </row>
    <row r="189">
      <c r="B189" s="90"/>
      <c r="C189" s="90"/>
      <c r="E189" s="166"/>
      <c r="J189" s="163"/>
      <c r="L189" s="163"/>
      <c r="N189" s="167"/>
      <c r="O189" s="168"/>
    </row>
    <row r="190">
      <c r="B190" s="90"/>
      <c r="C190" s="90"/>
      <c r="E190" s="166"/>
      <c r="J190" s="163"/>
      <c r="L190" s="163"/>
      <c r="N190" s="167"/>
      <c r="O190" s="168"/>
    </row>
    <row r="191">
      <c r="B191" s="90"/>
      <c r="C191" s="90"/>
      <c r="E191" s="166"/>
      <c r="J191" s="163"/>
      <c r="L191" s="163"/>
      <c r="N191" s="167"/>
      <c r="O191" s="168"/>
    </row>
    <row r="192">
      <c r="B192" s="90"/>
      <c r="C192" s="90"/>
      <c r="E192" s="166"/>
      <c r="J192" s="163"/>
      <c r="L192" s="163"/>
      <c r="N192" s="167"/>
      <c r="O192" s="168"/>
    </row>
    <row r="193">
      <c r="B193" s="90"/>
      <c r="C193" s="90"/>
      <c r="E193" s="166"/>
      <c r="J193" s="163"/>
      <c r="L193" s="163"/>
      <c r="N193" s="167"/>
      <c r="O193" s="168"/>
    </row>
    <row r="194">
      <c r="B194" s="90"/>
      <c r="C194" s="90"/>
      <c r="E194" s="166"/>
      <c r="J194" s="163"/>
      <c r="L194" s="163"/>
      <c r="N194" s="167"/>
      <c r="O194" s="168"/>
    </row>
    <row r="195">
      <c r="B195" s="90"/>
      <c r="C195" s="90"/>
      <c r="E195" s="166"/>
      <c r="J195" s="163"/>
      <c r="L195" s="163"/>
      <c r="N195" s="167"/>
      <c r="O195" s="168"/>
    </row>
    <row r="196">
      <c r="B196" s="90"/>
      <c r="C196" s="90"/>
      <c r="E196" s="166"/>
      <c r="J196" s="163"/>
      <c r="L196" s="163"/>
      <c r="N196" s="167"/>
      <c r="O196" s="168"/>
    </row>
    <row r="197">
      <c r="B197" s="90"/>
      <c r="C197" s="90"/>
      <c r="E197" s="166"/>
      <c r="J197" s="163"/>
      <c r="L197" s="163"/>
      <c r="N197" s="167"/>
      <c r="O197" s="168"/>
    </row>
    <row r="198">
      <c r="B198" s="90"/>
      <c r="C198" s="90"/>
      <c r="E198" s="166"/>
      <c r="J198" s="163"/>
      <c r="L198" s="163"/>
      <c r="N198" s="167"/>
      <c r="O198" s="168"/>
    </row>
    <row r="199">
      <c r="B199" s="90"/>
      <c r="C199" s="90"/>
      <c r="E199" s="166"/>
      <c r="J199" s="163"/>
      <c r="L199" s="163"/>
      <c r="N199" s="167"/>
      <c r="O199" s="168"/>
    </row>
    <row r="200">
      <c r="B200" s="90"/>
      <c r="C200" s="90"/>
      <c r="E200" s="166"/>
      <c r="J200" s="163"/>
      <c r="L200" s="163"/>
      <c r="N200" s="167"/>
      <c r="O200" s="168"/>
    </row>
    <row r="201">
      <c r="B201" s="90"/>
      <c r="C201" s="90"/>
      <c r="E201" s="166"/>
      <c r="J201" s="163"/>
      <c r="L201" s="163"/>
      <c r="N201" s="167"/>
      <c r="O201" s="168"/>
    </row>
    <row r="202">
      <c r="B202" s="90"/>
      <c r="C202" s="90"/>
      <c r="E202" s="166"/>
      <c r="J202" s="163"/>
      <c r="L202" s="163"/>
      <c r="N202" s="167"/>
      <c r="O202" s="168"/>
    </row>
    <row r="203">
      <c r="B203" s="90"/>
      <c r="C203" s="90"/>
      <c r="E203" s="166"/>
      <c r="J203" s="163"/>
      <c r="L203" s="163"/>
      <c r="N203" s="167"/>
      <c r="O203" s="168"/>
    </row>
    <row r="204">
      <c r="B204" s="90"/>
      <c r="C204" s="90"/>
      <c r="E204" s="166"/>
      <c r="J204" s="163"/>
      <c r="L204" s="163"/>
      <c r="N204" s="167"/>
      <c r="O204" s="168"/>
    </row>
    <row r="205">
      <c r="B205" s="90"/>
      <c r="C205" s="90"/>
      <c r="E205" s="166"/>
      <c r="J205" s="163"/>
      <c r="L205" s="163"/>
      <c r="N205" s="167"/>
      <c r="O205" s="168"/>
    </row>
    <row r="206">
      <c r="B206" s="90"/>
      <c r="C206" s="90"/>
      <c r="E206" s="166"/>
      <c r="J206" s="163"/>
      <c r="L206" s="163"/>
      <c r="N206" s="167"/>
      <c r="O206" s="168"/>
    </row>
    <row r="207">
      <c r="B207" s="90"/>
      <c r="C207" s="90"/>
      <c r="E207" s="166"/>
      <c r="J207" s="163"/>
      <c r="L207" s="163"/>
      <c r="N207" s="167"/>
      <c r="O207" s="168"/>
    </row>
    <row r="208">
      <c r="B208" s="90"/>
      <c r="C208" s="90"/>
      <c r="E208" s="166"/>
      <c r="J208" s="163"/>
      <c r="L208" s="163"/>
      <c r="N208" s="167"/>
      <c r="O208" s="168"/>
    </row>
    <row r="209">
      <c r="B209" s="90"/>
      <c r="C209" s="90"/>
      <c r="E209" s="166"/>
      <c r="J209" s="163"/>
      <c r="L209" s="163"/>
      <c r="N209" s="167"/>
      <c r="O209" s="168"/>
    </row>
    <row r="210">
      <c r="B210" s="90"/>
      <c r="C210" s="90"/>
      <c r="E210" s="166"/>
      <c r="J210" s="163"/>
      <c r="L210" s="163"/>
      <c r="N210" s="167"/>
      <c r="O210" s="168"/>
    </row>
    <row r="211">
      <c r="B211" s="90"/>
      <c r="C211" s="90"/>
      <c r="E211" s="166"/>
      <c r="J211" s="163"/>
      <c r="L211" s="163"/>
      <c r="N211" s="167"/>
      <c r="O211" s="168"/>
    </row>
    <row r="212">
      <c r="B212" s="90"/>
      <c r="C212" s="90"/>
      <c r="E212" s="166"/>
      <c r="J212" s="163"/>
      <c r="L212" s="163"/>
      <c r="N212" s="167"/>
      <c r="O212" s="168"/>
    </row>
    <row r="213">
      <c r="B213" s="90"/>
      <c r="C213" s="90"/>
      <c r="E213" s="166"/>
      <c r="J213" s="163"/>
      <c r="L213" s="163"/>
      <c r="N213" s="167"/>
      <c r="O213" s="168"/>
    </row>
    <row r="214">
      <c r="B214" s="90"/>
      <c r="C214" s="90"/>
      <c r="E214" s="166"/>
      <c r="J214" s="163"/>
      <c r="L214" s="163"/>
      <c r="N214" s="167"/>
      <c r="O214" s="168"/>
    </row>
    <row r="215">
      <c r="B215" s="90"/>
      <c r="C215" s="90"/>
      <c r="E215" s="166"/>
      <c r="J215" s="163"/>
      <c r="L215" s="163"/>
      <c r="N215" s="167"/>
      <c r="O215" s="168"/>
    </row>
    <row r="216">
      <c r="B216" s="90"/>
      <c r="C216" s="90"/>
      <c r="E216" s="166"/>
      <c r="J216" s="163"/>
      <c r="L216" s="163"/>
      <c r="N216" s="167"/>
      <c r="O216" s="168"/>
    </row>
    <row r="217">
      <c r="B217" s="90"/>
      <c r="C217" s="90"/>
      <c r="E217" s="166"/>
      <c r="J217" s="163"/>
      <c r="L217" s="163"/>
      <c r="N217" s="167"/>
      <c r="O217" s="168"/>
    </row>
    <row r="218">
      <c r="B218" s="90"/>
      <c r="C218" s="90"/>
      <c r="E218" s="166"/>
      <c r="J218" s="163"/>
      <c r="L218" s="163"/>
      <c r="N218" s="167"/>
      <c r="O218" s="168"/>
    </row>
    <row r="219">
      <c r="B219" s="90"/>
      <c r="C219" s="90"/>
      <c r="E219" s="166"/>
      <c r="J219" s="163"/>
      <c r="L219" s="163"/>
      <c r="N219" s="167"/>
      <c r="O219" s="168"/>
    </row>
    <row r="220">
      <c r="B220" s="90"/>
      <c r="C220" s="90"/>
      <c r="E220" s="166"/>
      <c r="J220" s="163"/>
      <c r="L220" s="163"/>
      <c r="N220" s="167"/>
      <c r="O220" s="168"/>
    </row>
    <row r="221">
      <c r="B221" s="90"/>
      <c r="C221" s="90"/>
      <c r="E221" s="166"/>
      <c r="J221" s="163"/>
      <c r="L221" s="163"/>
      <c r="N221" s="167"/>
      <c r="O221" s="168"/>
    </row>
    <row r="222">
      <c r="B222" s="90"/>
      <c r="C222" s="90"/>
      <c r="E222" s="166"/>
      <c r="J222" s="163"/>
      <c r="L222" s="163"/>
      <c r="N222" s="167"/>
      <c r="O222" s="168"/>
    </row>
    <row r="223">
      <c r="B223" s="90"/>
      <c r="C223" s="90"/>
      <c r="E223" s="166"/>
      <c r="J223" s="163"/>
      <c r="L223" s="163"/>
      <c r="N223" s="167"/>
      <c r="O223" s="168"/>
    </row>
    <row r="224">
      <c r="B224" s="90"/>
      <c r="C224" s="90"/>
      <c r="E224" s="166"/>
      <c r="J224" s="163"/>
      <c r="L224" s="163"/>
      <c r="N224" s="167"/>
      <c r="O224" s="168"/>
    </row>
    <row r="225">
      <c r="B225" s="90"/>
      <c r="C225" s="90"/>
      <c r="E225" s="166"/>
      <c r="J225" s="163"/>
      <c r="L225" s="163"/>
      <c r="N225" s="167"/>
      <c r="O225" s="168"/>
    </row>
    <row r="226">
      <c r="B226" s="90"/>
      <c r="C226" s="90"/>
      <c r="E226" s="166"/>
      <c r="J226" s="163"/>
      <c r="L226" s="163"/>
      <c r="N226" s="167"/>
      <c r="O226" s="168"/>
    </row>
    <row r="227">
      <c r="B227" s="90"/>
      <c r="C227" s="90"/>
      <c r="E227" s="166"/>
      <c r="J227" s="163"/>
      <c r="L227" s="163"/>
      <c r="N227" s="167"/>
      <c r="O227" s="168"/>
    </row>
    <row r="228">
      <c r="B228" s="90"/>
      <c r="C228" s="90"/>
      <c r="E228" s="166"/>
      <c r="J228" s="163"/>
      <c r="L228" s="163"/>
      <c r="N228" s="167"/>
      <c r="O228" s="168"/>
    </row>
    <row r="229">
      <c r="B229" s="90"/>
      <c r="C229" s="90"/>
      <c r="E229" s="166"/>
      <c r="J229" s="163"/>
      <c r="L229" s="163"/>
      <c r="N229" s="167"/>
      <c r="O229" s="168"/>
    </row>
    <row r="230">
      <c r="B230" s="90"/>
      <c r="C230" s="90"/>
      <c r="E230" s="166"/>
      <c r="J230" s="163"/>
      <c r="L230" s="163"/>
      <c r="N230" s="167"/>
      <c r="O230" s="168"/>
    </row>
    <row r="231">
      <c r="B231" s="90"/>
      <c r="C231" s="90"/>
      <c r="E231" s="166"/>
      <c r="J231" s="163"/>
      <c r="L231" s="163"/>
      <c r="N231" s="167"/>
      <c r="O231" s="168"/>
    </row>
    <row r="232">
      <c r="B232" s="90"/>
      <c r="C232" s="90"/>
      <c r="E232" s="166"/>
      <c r="J232" s="163"/>
      <c r="L232" s="163"/>
      <c r="N232" s="167"/>
      <c r="O232" s="168"/>
    </row>
    <row r="233">
      <c r="B233" s="90"/>
      <c r="C233" s="90"/>
      <c r="E233" s="166"/>
      <c r="J233" s="163"/>
      <c r="L233" s="163"/>
      <c r="N233" s="167"/>
      <c r="O233" s="168"/>
    </row>
    <row r="234">
      <c r="B234" s="90"/>
      <c r="C234" s="90"/>
      <c r="E234" s="166"/>
      <c r="J234" s="163"/>
      <c r="L234" s="163"/>
      <c r="N234" s="167"/>
      <c r="O234" s="168"/>
    </row>
    <row r="235">
      <c r="B235" s="90"/>
      <c r="C235" s="90"/>
      <c r="E235" s="166"/>
      <c r="J235" s="163"/>
      <c r="L235" s="163"/>
      <c r="N235" s="167"/>
      <c r="O235" s="168"/>
    </row>
    <row r="236">
      <c r="B236" s="90"/>
      <c r="C236" s="90"/>
      <c r="E236" s="166"/>
      <c r="J236" s="163"/>
      <c r="L236" s="163"/>
      <c r="N236" s="167"/>
      <c r="O236" s="168"/>
    </row>
    <row r="237">
      <c r="B237" s="90"/>
      <c r="C237" s="90"/>
      <c r="E237" s="166"/>
      <c r="J237" s="163"/>
      <c r="L237" s="163"/>
      <c r="N237" s="167"/>
      <c r="O237" s="168"/>
    </row>
    <row r="238">
      <c r="B238" s="90"/>
      <c r="C238" s="90"/>
      <c r="E238" s="166"/>
      <c r="J238" s="163"/>
      <c r="L238" s="163"/>
      <c r="N238" s="167"/>
      <c r="O238" s="168"/>
    </row>
    <row r="239">
      <c r="B239" s="90"/>
      <c r="C239" s="90"/>
      <c r="E239" s="166"/>
      <c r="J239" s="163"/>
      <c r="L239" s="163"/>
      <c r="N239" s="167"/>
      <c r="O239" s="168"/>
    </row>
    <row r="240">
      <c r="B240" s="90"/>
      <c r="C240" s="90"/>
      <c r="E240" s="166"/>
      <c r="J240" s="163"/>
      <c r="L240" s="163"/>
      <c r="N240" s="167"/>
      <c r="O240" s="168"/>
    </row>
    <row r="241">
      <c r="B241" s="90"/>
      <c r="C241" s="90"/>
      <c r="E241" s="166"/>
      <c r="J241" s="163"/>
      <c r="L241" s="163"/>
      <c r="N241" s="167"/>
      <c r="O241" s="168"/>
    </row>
    <row r="242">
      <c r="B242" s="90"/>
      <c r="C242" s="90"/>
      <c r="E242" s="166"/>
      <c r="J242" s="163"/>
      <c r="L242" s="163"/>
      <c r="N242" s="167"/>
      <c r="O242" s="168"/>
    </row>
    <row r="243">
      <c r="B243" s="90"/>
      <c r="C243" s="90"/>
      <c r="E243" s="166"/>
      <c r="J243" s="163"/>
      <c r="L243" s="163"/>
      <c r="N243" s="167"/>
      <c r="O243" s="168"/>
    </row>
    <row r="244">
      <c r="B244" s="90"/>
      <c r="C244" s="90"/>
      <c r="E244" s="166"/>
      <c r="J244" s="163"/>
      <c r="L244" s="163"/>
      <c r="N244" s="167"/>
      <c r="O244" s="168"/>
    </row>
    <row r="245">
      <c r="B245" s="90"/>
      <c r="C245" s="90"/>
      <c r="E245" s="166"/>
      <c r="J245" s="163"/>
      <c r="L245" s="163"/>
      <c r="N245" s="167"/>
      <c r="O245" s="168"/>
    </row>
    <row r="246">
      <c r="B246" s="90"/>
      <c r="C246" s="90"/>
      <c r="E246" s="166"/>
      <c r="J246" s="163"/>
      <c r="L246" s="163"/>
      <c r="N246" s="167"/>
      <c r="O246" s="168"/>
    </row>
    <row r="247">
      <c r="B247" s="90"/>
      <c r="C247" s="90"/>
      <c r="E247" s="166"/>
      <c r="J247" s="163"/>
      <c r="L247" s="163"/>
      <c r="N247" s="167"/>
      <c r="O247" s="168"/>
    </row>
    <row r="248">
      <c r="B248" s="90"/>
      <c r="C248" s="90"/>
      <c r="E248" s="166"/>
      <c r="J248" s="163"/>
      <c r="L248" s="163"/>
      <c r="N248" s="167"/>
      <c r="O248" s="168"/>
    </row>
    <row r="249">
      <c r="B249" s="90"/>
      <c r="C249" s="90"/>
      <c r="E249" s="166"/>
      <c r="J249" s="163"/>
      <c r="L249" s="163"/>
      <c r="N249" s="167"/>
      <c r="O249" s="168"/>
    </row>
    <row r="250">
      <c r="B250" s="90"/>
      <c r="C250" s="90"/>
      <c r="E250" s="166"/>
      <c r="J250" s="163"/>
      <c r="L250" s="163"/>
      <c r="N250" s="167"/>
      <c r="O250" s="168"/>
    </row>
    <row r="251">
      <c r="B251" s="90"/>
      <c r="C251" s="90"/>
      <c r="E251" s="166"/>
      <c r="J251" s="163"/>
      <c r="L251" s="163"/>
      <c r="N251" s="167"/>
      <c r="O251" s="168"/>
    </row>
    <row r="252">
      <c r="B252" s="90"/>
      <c r="C252" s="90"/>
      <c r="E252" s="166"/>
      <c r="J252" s="163"/>
      <c r="L252" s="163"/>
      <c r="N252" s="167"/>
      <c r="O252" s="168"/>
    </row>
    <row r="253">
      <c r="B253" s="90"/>
      <c r="C253" s="90"/>
      <c r="E253" s="166"/>
      <c r="J253" s="163"/>
      <c r="L253" s="163"/>
      <c r="N253" s="167"/>
      <c r="O253" s="168"/>
    </row>
    <row r="254">
      <c r="B254" s="90"/>
      <c r="C254" s="90"/>
      <c r="E254" s="166"/>
      <c r="J254" s="163"/>
      <c r="L254" s="163"/>
      <c r="N254" s="167"/>
      <c r="O254" s="168"/>
    </row>
    <row r="255">
      <c r="B255" s="90"/>
      <c r="C255" s="90"/>
      <c r="E255" s="166"/>
      <c r="J255" s="163"/>
      <c r="L255" s="163"/>
      <c r="N255" s="167"/>
      <c r="O255" s="168"/>
    </row>
    <row r="256">
      <c r="B256" s="90"/>
      <c r="C256" s="90"/>
      <c r="E256" s="166"/>
      <c r="J256" s="163"/>
      <c r="L256" s="163"/>
      <c r="N256" s="167"/>
      <c r="O256" s="168"/>
    </row>
    <row r="257">
      <c r="B257" s="90"/>
      <c r="C257" s="90"/>
      <c r="E257" s="166"/>
      <c r="J257" s="163"/>
      <c r="L257" s="163"/>
      <c r="N257" s="167"/>
      <c r="O257" s="168"/>
    </row>
    <row r="258">
      <c r="B258" s="90"/>
      <c r="C258" s="90"/>
      <c r="E258" s="166"/>
      <c r="J258" s="163"/>
      <c r="L258" s="163"/>
      <c r="N258" s="167"/>
      <c r="O258" s="168"/>
    </row>
    <row r="259">
      <c r="B259" s="90"/>
      <c r="C259" s="90"/>
      <c r="E259" s="166"/>
      <c r="J259" s="163"/>
      <c r="L259" s="163"/>
      <c r="N259" s="167"/>
      <c r="O259" s="168"/>
    </row>
    <row r="260">
      <c r="B260" s="90"/>
      <c r="C260" s="90"/>
      <c r="E260" s="166"/>
      <c r="J260" s="163"/>
      <c r="L260" s="163"/>
      <c r="N260" s="167"/>
      <c r="O260" s="168"/>
    </row>
    <row r="261">
      <c r="B261" s="90"/>
      <c r="C261" s="90"/>
      <c r="E261" s="166"/>
      <c r="J261" s="163"/>
      <c r="L261" s="163"/>
      <c r="N261" s="167"/>
      <c r="O261" s="168"/>
    </row>
    <row r="262">
      <c r="B262" s="90"/>
      <c r="C262" s="90"/>
      <c r="E262" s="166"/>
      <c r="J262" s="163"/>
      <c r="L262" s="163"/>
      <c r="N262" s="167"/>
      <c r="O262" s="168"/>
    </row>
    <row r="263">
      <c r="B263" s="90"/>
      <c r="C263" s="90"/>
      <c r="E263" s="166"/>
      <c r="J263" s="163"/>
      <c r="L263" s="163"/>
      <c r="N263" s="167"/>
      <c r="O263" s="168"/>
    </row>
    <row r="264">
      <c r="B264" s="90"/>
      <c r="C264" s="90"/>
      <c r="E264" s="166"/>
      <c r="J264" s="163"/>
      <c r="L264" s="163"/>
      <c r="N264" s="167"/>
      <c r="O264" s="168"/>
    </row>
    <row r="265">
      <c r="B265" s="90"/>
      <c r="C265" s="90"/>
      <c r="E265" s="166"/>
      <c r="J265" s="163"/>
      <c r="L265" s="163"/>
      <c r="N265" s="167"/>
      <c r="O265" s="168"/>
    </row>
    <row r="266">
      <c r="B266" s="90"/>
      <c r="C266" s="90"/>
      <c r="E266" s="166"/>
      <c r="J266" s="163"/>
      <c r="L266" s="163"/>
      <c r="N266" s="167"/>
      <c r="O266" s="168"/>
    </row>
    <row r="267">
      <c r="B267" s="90"/>
      <c r="C267" s="90"/>
      <c r="E267" s="166"/>
      <c r="J267" s="163"/>
      <c r="L267" s="163"/>
      <c r="N267" s="167"/>
      <c r="O267" s="168"/>
    </row>
    <row r="268">
      <c r="B268" s="90"/>
      <c r="C268" s="90"/>
      <c r="E268" s="166"/>
      <c r="J268" s="163"/>
      <c r="L268" s="163"/>
      <c r="N268" s="167"/>
      <c r="O268" s="168"/>
    </row>
    <row r="269">
      <c r="B269" s="90"/>
      <c r="C269" s="90"/>
      <c r="E269" s="166"/>
      <c r="J269" s="163"/>
      <c r="L269" s="163"/>
      <c r="N269" s="167"/>
      <c r="O269" s="168"/>
    </row>
    <row r="270">
      <c r="B270" s="90"/>
      <c r="C270" s="90"/>
      <c r="E270" s="166"/>
      <c r="J270" s="163"/>
      <c r="L270" s="163"/>
      <c r="N270" s="167"/>
      <c r="O270" s="168"/>
    </row>
    <row r="271">
      <c r="B271" s="90"/>
      <c r="C271" s="90"/>
      <c r="E271" s="166"/>
      <c r="J271" s="163"/>
      <c r="L271" s="163"/>
      <c r="N271" s="167"/>
      <c r="O271" s="168"/>
    </row>
    <row r="272">
      <c r="B272" s="90"/>
      <c r="C272" s="90"/>
      <c r="E272" s="166"/>
      <c r="J272" s="163"/>
      <c r="L272" s="163"/>
      <c r="N272" s="167"/>
      <c r="O272" s="168"/>
    </row>
    <row r="273">
      <c r="B273" s="90"/>
      <c r="C273" s="90"/>
      <c r="E273" s="166"/>
      <c r="J273" s="163"/>
      <c r="L273" s="163"/>
      <c r="N273" s="167"/>
      <c r="O273" s="168"/>
    </row>
    <row r="274">
      <c r="B274" s="90"/>
      <c r="C274" s="90"/>
      <c r="E274" s="166"/>
      <c r="J274" s="163"/>
      <c r="L274" s="163"/>
      <c r="N274" s="167"/>
      <c r="O274" s="168"/>
    </row>
    <row r="275">
      <c r="B275" s="90"/>
      <c r="C275" s="90"/>
      <c r="E275" s="166"/>
      <c r="J275" s="163"/>
      <c r="L275" s="163"/>
      <c r="N275" s="167"/>
      <c r="O275" s="168"/>
    </row>
    <row r="276">
      <c r="B276" s="90"/>
      <c r="C276" s="90"/>
      <c r="E276" s="166"/>
      <c r="J276" s="163"/>
      <c r="L276" s="163"/>
      <c r="N276" s="167"/>
      <c r="O276" s="168"/>
    </row>
    <row r="277">
      <c r="B277" s="90"/>
      <c r="C277" s="90"/>
      <c r="E277" s="166"/>
      <c r="J277" s="163"/>
      <c r="L277" s="163"/>
      <c r="N277" s="167"/>
      <c r="O277" s="168"/>
    </row>
    <row r="278">
      <c r="B278" s="90"/>
      <c r="C278" s="90"/>
      <c r="E278" s="166"/>
      <c r="J278" s="163"/>
      <c r="L278" s="163"/>
      <c r="N278" s="167"/>
      <c r="O278" s="168"/>
    </row>
    <row r="279">
      <c r="B279" s="90"/>
      <c r="C279" s="90"/>
      <c r="E279" s="166"/>
      <c r="J279" s="163"/>
      <c r="L279" s="163"/>
      <c r="N279" s="167"/>
      <c r="O279" s="168"/>
    </row>
    <row r="280">
      <c r="B280" s="90"/>
      <c r="C280" s="90"/>
      <c r="E280" s="166"/>
      <c r="J280" s="163"/>
      <c r="L280" s="163"/>
      <c r="N280" s="167"/>
      <c r="O280" s="168"/>
    </row>
    <row r="281">
      <c r="B281" s="90"/>
      <c r="C281" s="90"/>
      <c r="E281" s="166"/>
      <c r="J281" s="163"/>
      <c r="L281" s="163"/>
      <c r="N281" s="167"/>
      <c r="O281" s="168"/>
    </row>
    <row r="282">
      <c r="B282" s="90"/>
      <c r="C282" s="90"/>
      <c r="E282" s="166"/>
      <c r="J282" s="163"/>
      <c r="L282" s="163"/>
      <c r="N282" s="167"/>
      <c r="O282" s="168"/>
    </row>
    <row r="283">
      <c r="B283" s="90"/>
      <c r="C283" s="90"/>
      <c r="E283" s="166"/>
      <c r="J283" s="163"/>
      <c r="L283" s="163"/>
      <c r="N283" s="167"/>
      <c r="O283" s="168"/>
    </row>
    <row r="284">
      <c r="B284" s="90"/>
      <c r="C284" s="90"/>
      <c r="E284" s="166"/>
      <c r="J284" s="163"/>
      <c r="L284" s="163"/>
      <c r="N284" s="167"/>
      <c r="O284" s="168"/>
    </row>
    <row r="285">
      <c r="B285" s="90"/>
      <c r="C285" s="90"/>
      <c r="E285" s="166"/>
      <c r="J285" s="163"/>
      <c r="L285" s="163"/>
      <c r="N285" s="167"/>
      <c r="O285" s="168"/>
    </row>
    <row r="286">
      <c r="B286" s="90"/>
      <c r="C286" s="90"/>
      <c r="E286" s="166"/>
      <c r="J286" s="163"/>
      <c r="L286" s="163"/>
      <c r="N286" s="167"/>
      <c r="O286" s="168"/>
    </row>
    <row r="287">
      <c r="B287" s="90"/>
      <c r="C287" s="90"/>
      <c r="E287" s="166"/>
      <c r="J287" s="163"/>
      <c r="L287" s="163"/>
      <c r="N287" s="167"/>
      <c r="O287" s="168"/>
    </row>
    <row r="288">
      <c r="B288" s="90"/>
      <c r="C288" s="90"/>
      <c r="E288" s="166"/>
      <c r="J288" s="163"/>
      <c r="L288" s="163"/>
      <c r="N288" s="167"/>
      <c r="O288" s="168"/>
    </row>
    <row r="289">
      <c r="B289" s="90"/>
      <c r="C289" s="90"/>
      <c r="E289" s="166"/>
      <c r="J289" s="163"/>
      <c r="L289" s="163"/>
      <c r="N289" s="167"/>
      <c r="O289" s="168"/>
    </row>
    <row r="290">
      <c r="B290" s="90"/>
      <c r="C290" s="90"/>
      <c r="E290" s="166"/>
      <c r="J290" s="163"/>
      <c r="L290" s="163"/>
      <c r="N290" s="167"/>
      <c r="O290" s="168"/>
    </row>
    <row r="291">
      <c r="B291" s="90"/>
      <c r="C291" s="90"/>
      <c r="E291" s="166"/>
      <c r="J291" s="163"/>
      <c r="L291" s="163"/>
      <c r="N291" s="167"/>
      <c r="O291" s="168"/>
    </row>
    <row r="292">
      <c r="B292" s="90"/>
      <c r="C292" s="90"/>
      <c r="E292" s="166"/>
      <c r="J292" s="163"/>
      <c r="L292" s="163"/>
      <c r="N292" s="167"/>
      <c r="O292" s="168"/>
    </row>
    <row r="293">
      <c r="B293" s="90"/>
      <c r="C293" s="90"/>
      <c r="E293" s="166"/>
      <c r="J293" s="163"/>
      <c r="L293" s="163"/>
      <c r="N293" s="167"/>
      <c r="O293" s="168"/>
    </row>
    <row r="294">
      <c r="B294" s="90"/>
      <c r="C294" s="90"/>
      <c r="E294" s="166"/>
      <c r="J294" s="163"/>
      <c r="L294" s="163"/>
      <c r="N294" s="167"/>
      <c r="O294" s="168"/>
    </row>
    <row r="295">
      <c r="B295" s="90"/>
      <c r="C295" s="90"/>
      <c r="E295" s="166"/>
      <c r="J295" s="163"/>
      <c r="L295" s="163"/>
      <c r="N295" s="167"/>
      <c r="O295" s="168"/>
    </row>
    <row r="296">
      <c r="B296" s="90"/>
      <c r="C296" s="90"/>
      <c r="E296" s="166"/>
      <c r="J296" s="163"/>
      <c r="L296" s="163"/>
      <c r="N296" s="167"/>
      <c r="O296" s="168"/>
    </row>
    <row r="297">
      <c r="B297" s="90"/>
      <c r="C297" s="90"/>
      <c r="E297" s="166"/>
      <c r="J297" s="163"/>
      <c r="L297" s="163"/>
      <c r="N297" s="167"/>
      <c r="O297" s="168"/>
    </row>
    <row r="298">
      <c r="B298" s="90"/>
      <c r="C298" s="90"/>
      <c r="E298" s="166"/>
      <c r="J298" s="163"/>
      <c r="L298" s="163"/>
      <c r="N298" s="167"/>
      <c r="O298" s="168"/>
    </row>
    <row r="299">
      <c r="B299" s="90"/>
      <c r="C299" s="90"/>
      <c r="E299" s="166"/>
      <c r="J299" s="163"/>
      <c r="L299" s="163"/>
      <c r="N299" s="167"/>
      <c r="O299" s="168"/>
    </row>
    <row r="300">
      <c r="B300" s="90"/>
      <c r="C300" s="90"/>
      <c r="E300" s="166"/>
      <c r="J300" s="163"/>
      <c r="L300" s="163"/>
      <c r="N300" s="167"/>
      <c r="O300" s="168"/>
    </row>
    <row r="301">
      <c r="B301" s="90"/>
      <c r="C301" s="90"/>
      <c r="E301" s="166"/>
      <c r="J301" s="163"/>
      <c r="L301" s="163"/>
      <c r="N301" s="167"/>
      <c r="O301" s="168"/>
    </row>
    <row r="302">
      <c r="B302" s="90"/>
      <c r="C302" s="90"/>
      <c r="E302" s="166"/>
      <c r="J302" s="163"/>
      <c r="L302" s="163"/>
      <c r="N302" s="167"/>
      <c r="O302" s="168"/>
    </row>
    <row r="303">
      <c r="B303" s="90"/>
      <c r="C303" s="90"/>
      <c r="E303" s="166"/>
      <c r="J303" s="163"/>
      <c r="L303" s="163"/>
      <c r="N303" s="167"/>
      <c r="O303" s="168"/>
    </row>
    <row r="304">
      <c r="B304" s="90"/>
      <c r="C304" s="90"/>
      <c r="E304" s="166"/>
      <c r="J304" s="163"/>
      <c r="L304" s="163"/>
      <c r="N304" s="167"/>
      <c r="O304" s="168"/>
    </row>
    <row r="305">
      <c r="B305" s="90"/>
      <c r="C305" s="90"/>
      <c r="E305" s="166"/>
      <c r="J305" s="163"/>
      <c r="L305" s="163"/>
      <c r="N305" s="167"/>
      <c r="O305" s="168"/>
    </row>
    <row r="306">
      <c r="B306" s="90"/>
      <c r="C306" s="90"/>
      <c r="E306" s="166"/>
      <c r="J306" s="163"/>
      <c r="L306" s="163"/>
      <c r="N306" s="167"/>
      <c r="O306" s="168"/>
    </row>
    <row r="307">
      <c r="B307" s="90"/>
      <c r="C307" s="90"/>
      <c r="E307" s="166"/>
      <c r="J307" s="163"/>
      <c r="L307" s="163"/>
      <c r="N307" s="167"/>
      <c r="O307" s="168"/>
    </row>
    <row r="308">
      <c r="B308" s="90"/>
      <c r="C308" s="90"/>
      <c r="E308" s="166"/>
      <c r="J308" s="163"/>
      <c r="L308" s="163"/>
      <c r="N308" s="167"/>
      <c r="O308" s="168"/>
    </row>
    <row r="309">
      <c r="B309" s="90"/>
      <c r="C309" s="90"/>
      <c r="E309" s="166"/>
      <c r="J309" s="163"/>
      <c r="L309" s="163"/>
      <c r="N309" s="167"/>
      <c r="O309" s="168"/>
    </row>
    <row r="310">
      <c r="B310" s="90"/>
      <c r="C310" s="90"/>
      <c r="E310" s="166"/>
      <c r="J310" s="163"/>
      <c r="L310" s="163"/>
      <c r="N310" s="167"/>
      <c r="O310" s="168"/>
    </row>
    <row r="311">
      <c r="B311" s="90"/>
      <c r="C311" s="90"/>
      <c r="E311" s="166"/>
      <c r="J311" s="163"/>
      <c r="L311" s="163"/>
      <c r="N311" s="167"/>
      <c r="O311" s="168"/>
    </row>
    <row r="312">
      <c r="B312" s="90"/>
      <c r="C312" s="90"/>
      <c r="E312" s="166"/>
      <c r="J312" s="163"/>
      <c r="L312" s="163"/>
      <c r="N312" s="167"/>
      <c r="O312" s="168"/>
    </row>
    <row r="313">
      <c r="B313" s="90"/>
      <c r="C313" s="90"/>
      <c r="E313" s="166"/>
      <c r="J313" s="163"/>
      <c r="L313" s="163"/>
      <c r="N313" s="167"/>
      <c r="O313" s="168"/>
    </row>
    <row r="314">
      <c r="B314" s="90"/>
      <c r="C314" s="90"/>
      <c r="E314" s="166"/>
      <c r="J314" s="163"/>
      <c r="L314" s="163"/>
      <c r="N314" s="167"/>
      <c r="O314" s="168"/>
    </row>
    <row r="315">
      <c r="B315" s="90"/>
      <c r="C315" s="90"/>
      <c r="E315" s="166"/>
      <c r="J315" s="163"/>
      <c r="L315" s="163"/>
      <c r="N315" s="167"/>
      <c r="O315" s="168"/>
    </row>
    <row r="316">
      <c r="B316" s="90"/>
      <c r="C316" s="90"/>
      <c r="E316" s="166"/>
      <c r="J316" s="163"/>
      <c r="L316" s="163"/>
      <c r="N316" s="167"/>
      <c r="O316" s="168"/>
    </row>
    <row r="317">
      <c r="B317" s="90"/>
      <c r="C317" s="90"/>
      <c r="E317" s="166"/>
      <c r="J317" s="163"/>
      <c r="L317" s="163"/>
      <c r="N317" s="167"/>
      <c r="O317" s="168"/>
    </row>
    <row r="318">
      <c r="B318" s="90"/>
      <c r="C318" s="90"/>
      <c r="E318" s="166"/>
      <c r="J318" s="163"/>
      <c r="L318" s="163"/>
      <c r="N318" s="167"/>
      <c r="O318" s="168"/>
    </row>
    <row r="319">
      <c r="B319" s="90"/>
      <c r="C319" s="90"/>
      <c r="E319" s="166"/>
      <c r="J319" s="163"/>
      <c r="L319" s="163"/>
      <c r="N319" s="167"/>
      <c r="O319" s="168"/>
    </row>
    <row r="320">
      <c r="B320" s="90"/>
      <c r="C320" s="90"/>
      <c r="E320" s="166"/>
      <c r="J320" s="163"/>
      <c r="L320" s="163"/>
      <c r="N320" s="167"/>
      <c r="O320" s="168"/>
    </row>
    <row r="321">
      <c r="B321" s="90"/>
      <c r="C321" s="90"/>
      <c r="E321" s="166"/>
      <c r="J321" s="163"/>
      <c r="L321" s="163"/>
      <c r="N321" s="167"/>
      <c r="O321" s="168"/>
    </row>
    <row r="322">
      <c r="B322" s="90"/>
      <c r="C322" s="90"/>
      <c r="E322" s="166"/>
      <c r="J322" s="163"/>
      <c r="L322" s="163"/>
      <c r="N322" s="167"/>
      <c r="O322" s="168"/>
    </row>
    <row r="323">
      <c r="B323" s="90"/>
      <c r="C323" s="90"/>
      <c r="E323" s="166"/>
      <c r="J323" s="163"/>
      <c r="L323" s="163"/>
      <c r="N323" s="167"/>
      <c r="O323" s="168"/>
    </row>
    <row r="324">
      <c r="B324" s="90"/>
      <c r="C324" s="90"/>
      <c r="E324" s="166"/>
      <c r="J324" s="163"/>
      <c r="L324" s="163"/>
      <c r="N324" s="167"/>
      <c r="O324" s="168"/>
    </row>
    <row r="325">
      <c r="B325" s="90"/>
      <c r="C325" s="90"/>
      <c r="E325" s="166"/>
      <c r="J325" s="163"/>
      <c r="L325" s="163"/>
      <c r="N325" s="167"/>
      <c r="O325" s="168"/>
    </row>
    <row r="326">
      <c r="B326" s="90"/>
      <c r="C326" s="90"/>
      <c r="E326" s="166"/>
      <c r="J326" s="163"/>
      <c r="L326" s="163"/>
      <c r="N326" s="167"/>
      <c r="O326" s="168"/>
    </row>
    <row r="327">
      <c r="B327" s="90"/>
      <c r="C327" s="90"/>
      <c r="E327" s="166"/>
      <c r="J327" s="163"/>
      <c r="L327" s="163"/>
      <c r="N327" s="167"/>
      <c r="O327" s="168"/>
    </row>
    <row r="328">
      <c r="B328" s="90"/>
      <c r="C328" s="90"/>
      <c r="E328" s="166"/>
      <c r="J328" s="163"/>
      <c r="L328" s="163"/>
      <c r="N328" s="167"/>
      <c r="O328" s="168"/>
    </row>
    <row r="329">
      <c r="B329" s="90"/>
      <c r="C329" s="90"/>
      <c r="E329" s="166"/>
      <c r="J329" s="163"/>
      <c r="L329" s="163"/>
      <c r="N329" s="167"/>
      <c r="O329" s="168"/>
    </row>
    <row r="330">
      <c r="B330" s="90"/>
      <c r="C330" s="90"/>
      <c r="E330" s="166"/>
      <c r="J330" s="163"/>
      <c r="L330" s="163"/>
      <c r="N330" s="167"/>
      <c r="O330" s="168"/>
    </row>
    <row r="331">
      <c r="B331" s="90"/>
      <c r="C331" s="90"/>
      <c r="E331" s="166"/>
      <c r="J331" s="163"/>
      <c r="L331" s="163"/>
      <c r="N331" s="167"/>
      <c r="O331" s="168"/>
    </row>
    <row r="332">
      <c r="B332" s="90"/>
      <c r="C332" s="90"/>
      <c r="E332" s="166"/>
      <c r="J332" s="163"/>
      <c r="L332" s="163"/>
      <c r="N332" s="167"/>
      <c r="O332" s="168"/>
    </row>
    <row r="333">
      <c r="B333" s="90"/>
      <c r="C333" s="90"/>
      <c r="E333" s="166"/>
      <c r="J333" s="163"/>
      <c r="L333" s="163"/>
      <c r="N333" s="167"/>
      <c r="O333" s="168"/>
    </row>
    <row r="334">
      <c r="B334" s="90"/>
      <c r="C334" s="90"/>
      <c r="E334" s="166"/>
      <c r="J334" s="163"/>
      <c r="L334" s="163"/>
      <c r="N334" s="167"/>
      <c r="O334" s="168"/>
    </row>
    <row r="335">
      <c r="B335" s="90"/>
      <c r="C335" s="90"/>
      <c r="E335" s="166"/>
      <c r="J335" s="163"/>
      <c r="L335" s="163"/>
      <c r="N335" s="167"/>
      <c r="O335" s="168"/>
    </row>
    <row r="336">
      <c r="B336" s="90"/>
      <c r="C336" s="90"/>
      <c r="E336" s="166"/>
      <c r="J336" s="163"/>
      <c r="L336" s="163"/>
      <c r="N336" s="167"/>
      <c r="O336" s="168"/>
    </row>
    <row r="337">
      <c r="B337" s="90"/>
      <c r="C337" s="90"/>
      <c r="E337" s="166"/>
      <c r="J337" s="163"/>
      <c r="L337" s="163"/>
      <c r="N337" s="167"/>
      <c r="O337" s="168"/>
    </row>
    <row r="338">
      <c r="B338" s="90"/>
      <c r="C338" s="90"/>
      <c r="E338" s="166"/>
      <c r="J338" s="163"/>
      <c r="L338" s="163"/>
      <c r="N338" s="167"/>
      <c r="O338" s="168"/>
    </row>
    <row r="339">
      <c r="B339" s="90"/>
      <c r="C339" s="90"/>
      <c r="E339" s="166"/>
      <c r="J339" s="163"/>
      <c r="L339" s="163"/>
      <c r="N339" s="167"/>
      <c r="O339" s="168"/>
    </row>
    <row r="340">
      <c r="B340" s="90"/>
      <c r="C340" s="90"/>
      <c r="E340" s="166"/>
      <c r="J340" s="163"/>
      <c r="L340" s="163"/>
      <c r="N340" s="167"/>
      <c r="O340" s="168"/>
    </row>
    <row r="341">
      <c r="B341" s="90"/>
      <c r="C341" s="90"/>
      <c r="E341" s="166"/>
      <c r="J341" s="163"/>
      <c r="L341" s="163"/>
      <c r="N341" s="167"/>
      <c r="O341" s="168"/>
    </row>
    <row r="342">
      <c r="B342" s="90"/>
      <c r="C342" s="90"/>
      <c r="E342" s="166"/>
      <c r="J342" s="163"/>
      <c r="L342" s="163"/>
      <c r="N342" s="167"/>
      <c r="O342" s="168"/>
    </row>
    <row r="343">
      <c r="B343" s="90"/>
      <c r="C343" s="90"/>
      <c r="E343" s="166"/>
      <c r="J343" s="163"/>
      <c r="L343" s="163"/>
      <c r="N343" s="167"/>
      <c r="O343" s="168"/>
    </row>
    <row r="344">
      <c r="B344" s="90"/>
      <c r="C344" s="90"/>
      <c r="E344" s="166"/>
      <c r="J344" s="163"/>
      <c r="L344" s="163"/>
      <c r="N344" s="167"/>
      <c r="O344" s="168"/>
    </row>
    <row r="345">
      <c r="B345" s="90"/>
      <c r="C345" s="90"/>
      <c r="E345" s="166"/>
      <c r="J345" s="163"/>
      <c r="L345" s="163"/>
      <c r="N345" s="167"/>
      <c r="O345" s="168"/>
    </row>
    <row r="346">
      <c r="B346" s="90"/>
      <c r="C346" s="90"/>
      <c r="E346" s="166"/>
      <c r="J346" s="163"/>
      <c r="L346" s="163"/>
      <c r="N346" s="167"/>
      <c r="O346" s="168"/>
    </row>
    <row r="347">
      <c r="B347" s="90"/>
      <c r="C347" s="90"/>
      <c r="E347" s="166"/>
      <c r="J347" s="163"/>
      <c r="L347" s="163"/>
      <c r="N347" s="167"/>
      <c r="O347" s="168"/>
    </row>
    <row r="348">
      <c r="B348" s="90"/>
      <c r="C348" s="90"/>
      <c r="E348" s="166"/>
      <c r="J348" s="163"/>
      <c r="L348" s="163"/>
      <c r="N348" s="167"/>
      <c r="O348" s="168"/>
    </row>
    <row r="349">
      <c r="B349" s="90"/>
      <c r="C349" s="90"/>
      <c r="E349" s="166"/>
      <c r="J349" s="163"/>
      <c r="L349" s="163"/>
      <c r="N349" s="167"/>
      <c r="O349" s="168"/>
    </row>
    <row r="350">
      <c r="B350" s="90"/>
      <c r="C350" s="90"/>
      <c r="E350" s="166"/>
      <c r="J350" s="163"/>
      <c r="L350" s="163"/>
      <c r="N350" s="167"/>
      <c r="O350" s="168"/>
    </row>
    <row r="351">
      <c r="B351" s="90"/>
      <c r="C351" s="90"/>
      <c r="E351" s="166"/>
      <c r="J351" s="163"/>
      <c r="L351" s="163"/>
      <c r="N351" s="167"/>
      <c r="O351" s="168"/>
    </row>
    <row r="352">
      <c r="B352" s="90"/>
      <c r="C352" s="90"/>
      <c r="E352" s="166"/>
      <c r="J352" s="163"/>
      <c r="L352" s="163"/>
      <c r="N352" s="167"/>
      <c r="O352" s="168"/>
    </row>
    <row r="353">
      <c r="B353" s="90"/>
      <c r="C353" s="90"/>
      <c r="E353" s="166"/>
      <c r="J353" s="163"/>
      <c r="L353" s="163"/>
      <c r="N353" s="167"/>
      <c r="O353" s="168"/>
    </row>
    <row r="354">
      <c r="B354" s="90"/>
      <c r="C354" s="90"/>
      <c r="E354" s="166"/>
      <c r="J354" s="163"/>
      <c r="L354" s="163"/>
      <c r="N354" s="167"/>
      <c r="O354" s="168"/>
    </row>
    <row r="355">
      <c r="B355" s="90"/>
      <c r="C355" s="90"/>
      <c r="E355" s="166"/>
      <c r="J355" s="163"/>
      <c r="L355" s="163"/>
      <c r="N355" s="167"/>
      <c r="O355" s="168"/>
    </row>
    <row r="356">
      <c r="B356" s="90"/>
      <c r="C356" s="90"/>
      <c r="E356" s="166"/>
      <c r="J356" s="163"/>
      <c r="L356" s="163"/>
      <c r="N356" s="167"/>
      <c r="O356" s="168"/>
    </row>
    <row r="357">
      <c r="B357" s="90"/>
      <c r="C357" s="90"/>
      <c r="E357" s="166"/>
      <c r="J357" s="163"/>
      <c r="L357" s="163"/>
      <c r="N357" s="167"/>
      <c r="O357" s="168"/>
    </row>
    <row r="358">
      <c r="B358" s="90"/>
      <c r="C358" s="90"/>
      <c r="E358" s="166"/>
      <c r="J358" s="163"/>
      <c r="L358" s="163"/>
      <c r="N358" s="167"/>
      <c r="O358" s="168"/>
    </row>
    <row r="359">
      <c r="B359" s="90"/>
      <c r="C359" s="90"/>
      <c r="E359" s="166"/>
      <c r="J359" s="163"/>
      <c r="L359" s="163"/>
      <c r="N359" s="167"/>
      <c r="O359" s="168"/>
    </row>
    <row r="360">
      <c r="B360" s="90"/>
      <c r="C360" s="90"/>
      <c r="E360" s="166"/>
      <c r="J360" s="163"/>
      <c r="L360" s="163"/>
      <c r="N360" s="167"/>
      <c r="O360" s="168"/>
    </row>
    <row r="361">
      <c r="B361" s="90"/>
      <c r="C361" s="90"/>
      <c r="E361" s="166"/>
      <c r="J361" s="163"/>
      <c r="L361" s="163"/>
      <c r="N361" s="167"/>
      <c r="O361" s="168"/>
    </row>
    <row r="362">
      <c r="B362" s="90"/>
      <c r="C362" s="90"/>
      <c r="E362" s="166"/>
      <c r="J362" s="163"/>
      <c r="L362" s="163"/>
      <c r="N362" s="167"/>
      <c r="O362" s="168"/>
    </row>
    <row r="363">
      <c r="B363" s="90"/>
      <c r="C363" s="90"/>
      <c r="E363" s="166"/>
      <c r="J363" s="163"/>
      <c r="L363" s="163"/>
      <c r="N363" s="167"/>
      <c r="O363" s="168"/>
    </row>
    <row r="364">
      <c r="B364" s="90"/>
      <c r="C364" s="90"/>
      <c r="E364" s="166"/>
      <c r="J364" s="163"/>
      <c r="L364" s="163"/>
      <c r="N364" s="167"/>
      <c r="O364" s="168"/>
    </row>
    <row r="365">
      <c r="B365" s="90"/>
      <c r="C365" s="90"/>
      <c r="E365" s="166"/>
      <c r="J365" s="163"/>
      <c r="L365" s="163"/>
      <c r="N365" s="167"/>
      <c r="O365" s="168"/>
    </row>
    <row r="366">
      <c r="B366" s="90"/>
      <c r="C366" s="90"/>
      <c r="E366" s="166"/>
      <c r="J366" s="163"/>
      <c r="L366" s="163"/>
      <c r="N366" s="167"/>
      <c r="O366" s="168"/>
    </row>
    <row r="367">
      <c r="B367" s="90"/>
      <c r="C367" s="90"/>
      <c r="E367" s="166"/>
      <c r="J367" s="163"/>
      <c r="L367" s="163"/>
      <c r="N367" s="167"/>
      <c r="O367" s="168"/>
    </row>
    <row r="368">
      <c r="B368" s="90"/>
      <c r="C368" s="90"/>
      <c r="E368" s="166"/>
      <c r="J368" s="163"/>
      <c r="L368" s="163"/>
      <c r="N368" s="167"/>
      <c r="O368" s="168"/>
    </row>
    <row r="369">
      <c r="B369" s="90"/>
      <c r="C369" s="90"/>
      <c r="E369" s="166"/>
      <c r="J369" s="163"/>
      <c r="L369" s="163"/>
      <c r="N369" s="167"/>
      <c r="O369" s="168"/>
    </row>
    <row r="370">
      <c r="B370" s="90"/>
      <c r="C370" s="90"/>
      <c r="E370" s="166"/>
      <c r="J370" s="163"/>
      <c r="L370" s="163"/>
      <c r="N370" s="167"/>
      <c r="O370" s="168"/>
    </row>
    <row r="371">
      <c r="B371" s="90"/>
      <c r="C371" s="90"/>
      <c r="E371" s="166"/>
      <c r="J371" s="163"/>
      <c r="L371" s="163"/>
      <c r="N371" s="167"/>
      <c r="O371" s="168"/>
    </row>
    <row r="372">
      <c r="B372" s="90"/>
      <c r="C372" s="90"/>
      <c r="E372" s="166"/>
      <c r="J372" s="163"/>
      <c r="L372" s="163"/>
      <c r="N372" s="167"/>
      <c r="O372" s="168"/>
    </row>
    <row r="373">
      <c r="B373" s="90"/>
      <c r="C373" s="90"/>
      <c r="E373" s="166"/>
      <c r="J373" s="163"/>
      <c r="L373" s="163"/>
      <c r="N373" s="167"/>
      <c r="O373" s="168"/>
    </row>
    <row r="374">
      <c r="B374" s="90"/>
      <c r="C374" s="90"/>
      <c r="E374" s="166"/>
      <c r="J374" s="163"/>
      <c r="L374" s="163"/>
      <c r="N374" s="167"/>
      <c r="O374" s="168"/>
    </row>
    <row r="375">
      <c r="B375" s="90"/>
      <c r="C375" s="90"/>
      <c r="E375" s="166"/>
      <c r="J375" s="163"/>
      <c r="L375" s="163"/>
      <c r="N375" s="167"/>
      <c r="O375" s="168"/>
    </row>
    <row r="376">
      <c r="B376" s="90"/>
      <c r="C376" s="90"/>
      <c r="E376" s="166"/>
      <c r="J376" s="163"/>
      <c r="L376" s="163"/>
      <c r="N376" s="167"/>
      <c r="O376" s="168"/>
    </row>
    <row r="377">
      <c r="B377" s="90"/>
      <c r="C377" s="90"/>
      <c r="E377" s="166"/>
      <c r="J377" s="163"/>
      <c r="L377" s="163"/>
      <c r="N377" s="167"/>
      <c r="O377" s="168"/>
    </row>
    <row r="378">
      <c r="B378" s="90"/>
      <c r="C378" s="90"/>
      <c r="E378" s="166"/>
      <c r="J378" s="163"/>
      <c r="L378" s="163"/>
      <c r="N378" s="167"/>
      <c r="O378" s="168"/>
    </row>
    <row r="379">
      <c r="B379" s="90"/>
      <c r="C379" s="90"/>
      <c r="E379" s="166"/>
      <c r="J379" s="163"/>
      <c r="L379" s="163"/>
      <c r="N379" s="167"/>
      <c r="O379" s="168"/>
    </row>
    <row r="380">
      <c r="B380" s="90"/>
      <c r="C380" s="90"/>
      <c r="E380" s="166"/>
      <c r="J380" s="163"/>
      <c r="L380" s="163"/>
      <c r="N380" s="167"/>
      <c r="O380" s="168"/>
    </row>
    <row r="381">
      <c r="B381" s="90"/>
      <c r="C381" s="90"/>
      <c r="E381" s="166"/>
      <c r="J381" s="163"/>
      <c r="L381" s="163"/>
      <c r="N381" s="167"/>
      <c r="O381" s="168"/>
    </row>
    <row r="382">
      <c r="B382" s="90"/>
      <c r="C382" s="90"/>
      <c r="E382" s="166"/>
      <c r="J382" s="163"/>
      <c r="L382" s="163"/>
      <c r="N382" s="167"/>
      <c r="O382" s="168"/>
    </row>
    <row r="383">
      <c r="B383" s="90"/>
      <c r="C383" s="90"/>
      <c r="E383" s="166"/>
      <c r="J383" s="163"/>
      <c r="L383" s="163"/>
      <c r="N383" s="167"/>
      <c r="O383" s="168"/>
    </row>
    <row r="384">
      <c r="B384" s="90"/>
      <c r="C384" s="90"/>
      <c r="E384" s="166"/>
      <c r="J384" s="163"/>
      <c r="L384" s="163"/>
      <c r="N384" s="167"/>
      <c r="O384" s="168"/>
    </row>
    <row r="385">
      <c r="B385" s="90"/>
      <c r="C385" s="90"/>
      <c r="E385" s="166"/>
      <c r="J385" s="163"/>
      <c r="L385" s="163"/>
      <c r="N385" s="167"/>
      <c r="O385" s="168"/>
    </row>
    <row r="386">
      <c r="B386" s="90"/>
      <c r="C386" s="90"/>
      <c r="E386" s="166"/>
      <c r="J386" s="163"/>
      <c r="L386" s="163"/>
      <c r="N386" s="167"/>
      <c r="O386" s="168"/>
    </row>
    <row r="387">
      <c r="B387" s="90"/>
      <c r="C387" s="90"/>
      <c r="E387" s="166"/>
      <c r="J387" s="163"/>
      <c r="L387" s="163"/>
      <c r="N387" s="167"/>
      <c r="O387" s="168"/>
    </row>
    <row r="388">
      <c r="B388" s="90"/>
      <c r="C388" s="90"/>
      <c r="E388" s="166"/>
      <c r="J388" s="163"/>
      <c r="L388" s="163"/>
      <c r="N388" s="167"/>
      <c r="O388" s="168"/>
    </row>
    <row r="389">
      <c r="B389" s="90"/>
      <c r="C389" s="90"/>
      <c r="E389" s="166"/>
      <c r="J389" s="163"/>
      <c r="L389" s="163"/>
      <c r="N389" s="167"/>
      <c r="O389" s="168"/>
    </row>
    <row r="390">
      <c r="B390" s="90"/>
      <c r="C390" s="90"/>
      <c r="E390" s="166"/>
      <c r="J390" s="163"/>
      <c r="L390" s="163"/>
      <c r="N390" s="167"/>
      <c r="O390" s="168"/>
    </row>
    <row r="391">
      <c r="B391" s="90"/>
      <c r="C391" s="90"/>
      <c r="E391" s="166"/>
      <c r="J391" s="163"/>
      <c r="L391" s="163"/>
      <c r="N391" s="167"/>
      <c r="O391" s="168"/>
    </row>
    <row r="392">
      <c r="B392" s="90"/>
      <c r="C392" s="90"/>
      <c r="E392" s="166"/>
      <c r="J392" s="163"/>
      <c r="L392" s="163"/>
      <c r="N392" s="167"/>
      <c r="O392" s="168"/>
    </row>
    <row r="393">
      <c r="B393" s="90"/>
      <c r="C393" s="90"/>
      <c r="E393" s="166"/>
      <c r="J393" s="163"/>
      <c r="L393" s="163"/>
      <c r="N393" s="167"/>
      <c r="O393" s="168"/>
    </row>
    <row r="394">
      <c r="B394" s="90"/>
      <c r="C394" s="90"/>
      <c r="E394" s="166"/>
      <c r="J394" s="163"/>
      <c r="L394" s="163"/>
      <c r="N394" s="167"/>
      <c r="O394" s="168"/>
    </row>
    <row r="395">
      <c r="B395" s="90"/>
      <c r="C395" s="90"/>
      <c r="E395" s="166"/>
      <c r="J395" s="163"/>
      <c r="L395" s="163"/>
      <c r="N395" s="167"/>
      <c r="O395" s="168"/>
    </row>
    <row r="396">
      <c r="B396" s="90"/>
      <c r="C396" s="90"/>
      <c r="E396" s="166"/>
      <c r="J396" s="163"/>
      <c r="L396" s="163"/>
      <c r="N396" s="167"/>
      <c r="O396" s="168"/>
    </row>
    <row r="397">
      <c r="B397" s="90"/>
      <c r="C397" s="90"/>
      <c r="E397" s="166"/>
      <c r="J397" s="163"/>
      <c r="L397" s="163"/>
      <c r="N397" s="167"/>
      <c r="O397" s="168"/>
    </row>
    <row r="398">
      <c r="B398" s="90"/>
      <c r="C398" s="90"/>
      <c r="E398" s="166"/>
      <c r="J398" s="163"/>
      <c r="L398" s="163"/>
      <c r="N398" s="167"/>
      <c r="O398" s="168"/>
    </row>
    <row r="399">
      <c r="B399" s="90"/>
      <c r="C399" s="90"/>
      <c r="E399" s="166"/>
      <c r="J399" s="163"/>
      <c r="L399" s="163"/>
      <c r="N399" s="167"/>
      <c r="O399" s="168"/>
    </row>
    <row r="400">
      <c r="B400" s="90"/>
      <c r="C400" s="90"/>
      <c r="E400" s="166"/>
      <c r="J400" s="163"/>
      <c r="L400" s="163"/>
      <c r="N400" s="167"/>
      <c r="O400" s="168"/>
    </row>
    <row r="401">
      <c r="B401" s="90"/>
      <c r="C401" s="90"/>
      <c r="E401" s="166"/>
      <c r="J401" s="163"/>
      <c r="L401" s="163"/>
      <c r="N401" s="167"/>
      <c r="O401" s="168"/>
    </row>
    <row r="402">
      <c r="B402" s="90"/>
      <c r="C402" s="90"/>
      <c r="E402" s="166"/>
      <c r="J402" s="163"/>
      <c r="L402" s="163"/>
      <c r="N402" s="167"/>
      <c r="O402" s="168"/>
    </row>
    <row r="403">
      <c r="B403" s="90"/>
      <c r="C403" s="90"/>
      <c r="E403" s="166"/>
      <c r="J403" s="163"/>
      <c r="L403" s="163"/>
      <c r="N403" s="167"/>
      <c r="O403" s="168"/>
    </row>
    <row r="404">
      <c r="B404" s="90"/>
      <c r="C404" s="90"/>
      <c r="E404" s="166"/>
      <c r="J404" s="163"/>
      <c r="L404" s="163"/>
      <c r="N404" s="167"/>
      <c r="O404" s="168"/>
    </row>
    <row r="405">
      <c r="B405" s="90"/>
      <c r="C405" s="90"/>
      <c r="E405" s="166"/>
      <c r="J405" s="163"/>
      <c r="L405" s="163"/>
      <c r="N405" s="167"/>
      <c r="O405" s="168"/>
    </row>
    <row r="406">
      <c r="B406" s="90"/>
      <c r="C406" s="90"/>
      <c r="E406" s="166"/>
      <c r="J406" s="163"/>
      <c r="L406" s="163"/>
      <c r="N406" s="167"/>
      <c r="O406" s="168"/>
    </row>
    <row r="407">
      <c r="B407" s="90"/>
      <c r="C407" s="90"/>
      <c r="E407" s="166"/>
      <c r="J407" s="163"/>
      <c r="L407" s="163"/>
      <c r="N407" s="167"/>
      <c r="O407" s="168"/>
    </row>
    <row r="408">
      <c r="B408" s="90"/>
      <c r="C408" s="90"/>
      <c r="E408" s="166"/>
      <c r="J408" s="163"/>
      <c r="L408" s="163"/>
      <c r="N408" s="167"/>
      <c r="O408" s="168"/>
    </row>
    <row r="409">
      <c r="B409" s="90"/>
      <c r="C409" s="90"/>
      <c r="E409" s="166"/>
      <c r="J409" s="163"/>
      <c r="L409" s="163"/>
      <c r="N409" s="167"/>
      <c r="O409" s="168"/>
    </row>
    <row r="410">
      <c r="B410" s="90"/>
      <c r="C410" s="90"/>
      <c r="E410" s="166"/>
      <c r="J410" s="163"/>
      <c r="L410" s="163"/>
      <c r="N410" s="167"/>
      <c r="O410" s="168"/>
    </row>
    <row r="411">
      <c r="B411" s="90"/>
      <c r="C411" s="90"/>
      <c r="E411" s="166"/>
      <c r="J411" s="163"/>
      <c r="L411" s="163"/>
      <c r="N411" s="167"/>
      <c r="O411" s="168"/>
    </row>
    <row r="412">
      <c r="B412" s="90"/>
      <c r="C412" s="90"/>
      <c r="E412" s="166"/>
      <c r="J412" s="163"/>
      <c r="L412" s="163"/>
      <c r="N412" s="167"/>
      <c r="O412" s="168"/>
    </row>
    <row r="413">
      <c r="B413" s="90"/>
      <c r="C413" s="90"/>
      <c r="E413" s="166"/>
      <c r="J413" s="163"/>
      <c r="L413" s="163"/>
      <c r="N413" s="167"/>
      <c r="O413" s="168"/>
    </row>
    <row r="414">
      <c r="B414" s="90"/>
      <c r="C414" s="90"/>
      <c r="E414" s="166"/>
      <c r="J414" s="163"/>
      <c r="L414" s="163"/>
      <c r="N414" s="167"/>
      <c r="O414" s="168"/>
    </row>
    <row r="415">
      <c r="B415" s="90"/>
      <c r="C415" s="90"/>
      <c r="E415" s="166"/>
      <c r="J415" s="163"/>
      <c r="L415" s="163"/>
      <c r="N415" s="167"/>
      <c r="O415" s="168"/>
    </row>
    <row r="416">
      <c r="B416" s="90"/>
      <c r="C416" s="90"/>
      <c r="E416" s="166"/>
      <c r="J416" s="163"/>
      <c r="L416" s="163"/>
      <c r="N416" s="167"/>
      <c r="O416" s="168"/>
    </row>
    <row r="417">
      <c r="B417" s="90"/>
      <c r="C417" s="90"/>
      <c r="E417" s="166"/>
      <c r="J417" s="163"/>
      <c r="L417" s="163"/>
      <c r="N417" s="167"/>
      <c r="O417" s="168"/>
    </row>
    <row r="418">
      <c r="B418" s="90"/>
      <c r="C418" s="90"/>
      <c r="E418" s="166"/>
      <c r="J418" s="163"/>
      <c r="L418" s="163"/>
      <c r="N418" s="167"/>
      <c r="O418" s="168"/>
    </row>
    <row r="419">
      <c r="B419" s="90"/>
      <c r="C419" s="90"/>
      <c r="E419" s="166"/>
      <c r="J419" s="163"/>
      <c r="L419" s="163"/>
      <c r="N419" s="167"/>
      <c r="O419" s="168"/>
    </row>
    <row r="420">
      <c r="B420" s="90"/>
      <c r="C420" s="90"/>
      <c r="E420" s="166"/>
      <c r="J420" s="163"/>
      <c r="L420" s="163"/>
      <c r="N420" s="167"/>
      <c r="O420" s="168"/>
    </row>
    <row r="421">
      <c r="B421" s="90"/>
      <c r="C421" s="90"/>
      <c r="E421" s="166"/>
      <c r="J421" s="163"/>
      <c r="L421" s="163"/>
      <c r="N421" s="167"/>
      <c r="O421" s="168"/>
    </row>
    <row r="422">
      <c r="B422" s="90"/>
      <c r="C422" s="90"/>
      <c r="E422" s="166"/>
      <c r="J422" s="163"/>
      <c r="L422" s="163"/>
      <c r="N422" s="167"/>
      <c r="O422" s="168"/>
    </row>
    <row r="423">
      <c r="B423" s="90"/>
      <c r="C423" s="90"/>
      <c r="E423" s="166"/>
      <c r="J423" s="163"/>
      <c r="L423" s="163"/>
      <c r="N423" s="167"/>
      <c r="O423" s="168"/>
    </row>
    <row r="424">
      <c r="B424" s="90"/>
      <c r="C424" s="90"/>
      <c r="E424" s="166"/>
      <c r="J424" s="163"/>
      <c r="L424" s="163"/>
      <c r="N424" s="167"/>
      <c r="O424" s="168"/>
    </row>
    <row r="425">
      <c r="B425" s="90"/>
      <c r="C425" s="90"/>
      <c r="E425" s="166"/>
      <c r="J425" s="163"/>
      <c r="L425" s="163"/>
      <c r="N425" s="167"/>
      <c r="O425" s="168"/>
    </row>
    <row r="426">
      <c r="B426" s="90"/>
      <c r="C426" s="90"/>
      <c r="E426" s="166"/>
      <c r="J426" s="163"/>
      <c r="L426" s="163"/>
      <c r="N426" s="167"/>
      <c r="O426" s="168"/>
    </row>
    <row r="427">
      <c r="B427" s="90"/>
      <c r="C427" s="90"/>
      <c r="E427" s="166"/>
      <c r="J427" s="163"/>
      <c r="L427" s="163"/>
      <c r="N427" s="167"/>
      <c r="O427" s="168"/>
    </row>
    <row r="428">
      <c r="B428" s="90"/>
      <c r="C428" s="90"/>
      <c r="E428" s="166"/>
      <c r="J428" s="163"/>
      <c r="L428" s="163"/>
      <c r="N428" s="167"/>
      <c r="O428" s="168"/>
    </row>
    <row r="429">
      <c r="B429" s="90"/>
      <c r="C429" s="90"/>
      <c r="E429" s="166"/>
      <c r="J429" s="163"/>
      <c r="L429" s="163"/>
      <c r="N429" s="167"/>
      <c r="O429" s="168"/>
    </row>
    <row r="430">
      <c r="B430" s="90"/>
      <c r="C430" s="90"/>
      <c r="E430" s="166"/>
      <c r="J430" s="163"/>
      <c r="L430" s="163"/>
      <c r="N430" s="167"/>
      <c r="O430" s="168"/>
    </row>
    <row r="431">
      <c r="B431" s="90"/>
      <c r="C431" s="90"/>
      <c r="E431" s="166"/>
      <c r="J431" s="163"/>
      <c r="L431" s="163"/>
      <c r="N431" s="167"/>
      <c r="O431" s="168"/>
    </row>
    <row r="432">
      <c r="B432" s="90"/>
      <c r="C432" s="90"/>
      <c r="E432" s="166"/>
      <c r="J432" s="163"/>
      <c r="L432" s="163"/>
      <c r="N432" s="167"/>
      <c r="O432" s="168"/>
    </row>
    <row r="433">
      <c r="B433" s="90"/>
      <c r="C433" s="90"/>
      <c r="E433" s="166"/>
      <c r="J433" s="163"/>
      <c r="L433" s="163"/>
      <c r="N433" s="167"/>
      <c r="O433" s="168"/>
    </row>
    <row r="434">
      <c r="B434" s="90"/>
      <c r="C434" s="90"/>
      <c r="E434" s="166"/>
      <c r="J434" s="163"/>
      <c r="L434" s="163"/>
      <c r="N434" s="167"/>
      <c r="O434" s="168"/>
    </row>
    <row r="435">
      <c r="B435" s="90"/>
      <c r="C435" s="90"/>
      <c r="E435" s="166"/>
      <c r="J435" s="163"/>
      <c r="L435" s="163"/>
      <c r="N435" s="167"/>
      <c r="O435" s="168"/>
    </row>
    <row r="436">
      <c r="B436" s="90"/>
      <c r="C436" s="90"/>
      <c r="E436" s="166"/>
      <c r="J436" s="163"/>
      <c r="L436" s="163"/>
      <c r="N436" s="167"/>
      <c r="O436" s="168"/>
    </row>
    <row r="437">
      <c r="B437" s="90"/>
      <c r="C437" s="90"/>
      <c r="E437" s="166"/>
      <c r="J437" s="163"/>
      <c r="L437" s="163"/>
      <c r="N437" s="167"/>
      <c r="O437" s="168"/>
    </row>
    <row r="438">
      <c r="B438" s="90"/>
      <c r="C438" s="90"/>
      <c r="E438" s="166"/>
      <c r="J438" s="163"/>
      <c r="L438" s="163"/>
      <c r="N438" s="167"/>
      <c r="O438" s="168"/>
    </row>
    <row r="439">
      <c r="B439" s="90"/>
      <c r="C439" s="90"/>
      <c r="E439" s="166"/>
      <c r="J439" s="163"/>
      <c r="L439" s="163"/>
      <c r="N439" s="167"/>
      <c r="O439" s="168"/>
    </row>
    <row r="440">
      <c r="B440" s="90"/>
      <c r="C440" s="90"/>
      <c r="E440" s="166"/>
      <c r="J440" s="163"/>
      <c r="L440" s="163"/>
      <c r="N440" s="167"/>
      <c r="O440" s="168"/>
    </row>
    <row r="441">
      <c r="B441" s="90"/>
      <c r="C441" s="90"/>
      <c r="E441" s="166"/>
      <c r="J441" s="163"/>
      <c r="L441" s="163"/>
      <c r="N441" s="167"/>
      <c r="O441" s="168"/>
    </row>
    <row r="442">
      <c r="B442" s="90"/>
      <c r="C442" s="90"/>
      <c r="E442" s="166"/>
      <c r="J442" s="163"/>
      <c r="L442" s="163"/>
      <c r="N442" s="167"/>
      <c r="O442" s="168"/>
    </row>
    <row r="443">
      <c r="B443" s="90"/>
      <c r="C443" s="90"/>
      <c r="E443" s="166"/>
      <c r="J443" s="163"/>
      <c r="L443" s="163"/>
      <c r="N443" s="167"/>
      <c r="O443" s="168"/>
    </row>
    <row r="444">
      <c r="B444" s="90"/>
      <c r="C444" s="90"/>
      <c r="E444" s="166"/>
      <c r="J444" s="163"/>
      <c r="L444" s="163"/>
      <c r="N444" s="167"/>
      <c r="O444" s="168"/>
    </row>
    <row r="445">
      <c r="B445" s="90"/>
      <c r="C445" s="90"/>
      <c r="E445" s="166"/>
      <c r="J445" s="163"/>
      <c r="L445" s="163"/>
      <c r="N445" s="167"/>
      <c r="O445" s="168"/>
    </row>
    <row r="446">
      <c r="B446" s="90"/>
      <c r="C446" s="90"/>
      <c r="E446" s="166"/>
      <c r="J446" s="163"/>
      <c r="L446" s="163"/>
      <c r="N446" s="167"/>
      <c r="O446" s="168"/>
    </row>
    <row r="447">
      <c r="B447" s="90"/>
      <c r="C447" s="90"/>
      <c r="E447" s="166"/>
      <c r="J447" s="163"/>
      <c r="L447" s="163"/>
      <c r="N447" s="167"/>
      <c r="O447" s="168"/>
    </row>
    <row r="448">
      <c r="B448" s="90"/>
      <c r="C448" s="90"/>
      <c r="E448" s="166"/>
      <c r="J448" s="163"/>
      <c r="L448" s="163"/>
      <c r="N448" s="167"/>
      <c r="O448" s="168"/>
    </row>
    <row r="449">
      <c r="B449" s="90"/>
      <c r="C449" s="90"/>
      <c r="E449" s="166"/>
      <c r="J449" s="163"/>
      <c r="L449" s="163"/>
      <c r="N449" s="167"/>
      <c r="O449" s="168"/>
    </row>
    <row r="450">
      <c r="B450" s="90"/>
      <c r="C450" s="90"/>
      <c r="E450" s="166"/>
      <c r="J450" s="163"/>
      <c r="L450" s="163"/>
      <c r="N450" s="167"/>
      <c r="O450" s="168"/>
    </row>
    <row r="451">
      <c r="B451" s="90"/>
      <c r="C451" s="90"/>
      <c r="E451" s="166"/>
      <c r="J451" s="163"/>
      <c r="L451" s="163"/>
      <c r="N451" s="167"/>
      <c r="O451" s="168"/>
    </row>
    <row r="452">
      <c r="B452" s="90"/>
      <c r="C452" s="90"/>
      <c r="E452" s="166"/>
      <c r="J452" s="163"/>
      <c r="L452" s="163"/>
      <c r="N452" s="167"/>
      <c r="O452" s="168"/>
    </row>
    <row r="453">
      <c r="B453" s="90"/>
      <c r="C453" s="90"/>
      <c r="E453" s="166"/>
      <c r="J453" s="163"/>
      <c r="L453" s="163"/>
      <c r="N453" s="167"/>
      <c r="O453" s="168"/>
    </row>
    <row r="454">
      <c r="B454" s="90"/>
      <c r="C454" s="90"/>
      <c r="E454" s="166"/>
      <c r="J454" s="163"/>
      <c r="L454" s="163"/>
      <c r="N454" s="167"/>
      <c r="O454" s="168"/>
    </row>
    <row r="455">
      <c r="B455" s="90"/>
      <c r="C455" s="90"/>
      <c r="E455" s="166"/>
      <c r="J455" s="163"/>
      <c r="L455" s="163"/>
      <c r="N455" s="167"/>
      <c r="O455" s="168"/>
    </row>
    <row r="456">
      <c r="B456" s="90"/>
      <c r="C456" s="90"/>
      <c r="E456" s="166"/>
      <c r="J456" s="163"/>
      <c r="L456" s="163"/>
      <c r="N456" s="167"/>
      <c r="O456" s="168"/>
    </row>
    <row r="457">
      <c r="B457" s="90"/>
      <c r="C457" s="90"/>
      <c r="E457" s="166"/>
      <c r="J457" s="163"/>
      <c r="L457" s="163"/>
      <c r="N457" s="167"/>
      <c r="O457" s="168"/>
    </row>
    <row r="458">
      <c r="B458" s="90"/>
      <c r="C458" s="90"/>
      <c r="E458" s="166"/>
      <c r="J458" s="163"/>
      <c r="L458" s="163"/>
      <c r="N458" s="167"/>
      <c r="O458" s="168"/>
    </row>
    <row r="459">
      <c r="B459" s="90"/>
      <c r="C459" s="90"/>
      <c r="E459" s="166"/>
      <c r="J459" s="163"/>
      <c r="L459" s="163"/>
      <c r="N459" s="167"/>
      <c r="O459" s="168"/>
    </row>
    <row r="460">
      <c r="B460" s="90"/>
      <c r="C460" s="90"/>
      <c r="E460" s="166"/>
      <c r="J460" s="163"/>
      <c r="L460" s="163"/>
      <c r="N460" s="167"/>
      <c r="O460" s="168"/>
    </row>
    <row r="461">
      <c r="B461" s="90"/>
      <c r="C461" s="90"/>
      <c r="E461" s="166"/>
      <c r="J461" s="163"/>
      <c r="L461" s="163"/>
      <c r="N461" s="167"/>
      <c r="O461" s="168"/>
    </row>
    <row r="462">
      <c r="B462" s="90"/>
      <c r="C462" s="90"/>
      <c r="E462" s="166"/>
      <c r="J462" s="163"/>
      <c r="L462" s="163"/>
      <c r="N462" s="167"/>
      <c r="O462" s="168"/>
    </row>
    <row r="463">
      <c r="B463" s="90"/>
      <c r="C463" s="90"/>
      <c r="E463" s="166"/>
      <c r="J463" s="163"/>
      <c r="L463" s="163"/>
      <c r="N463" s="167"/>
      <c r="O463" s="168"/>
    </row>
    <row r="464">
      <c r="B464" s="90"/>
      <c r="C464" s="90"/>
      <c r="E464" s="166"/>
      <c r="J464" s="163"/>
      <c r="L464" s="163"/>
      <c r="N464" s="167"/>
      <c r="O464" s="168"/>
    </row>
    <row r="465">
      <c r="B465" s="90"/>
      <c r="C465" s="90"/>
      <c r="E465" s="166"/>
      <c r="J465" s="163"/>
      <c r="L465" s="163"/>
      <c r="N465" s="167"/>
      <c r="O465" s="168"/>
    </row>
    <row r="466">
      <c r="B466" s="90"/>
      <c r="C466" s="90"/>
      <c r="E466" s="166"/>
      <c r="J466" s="163"/>
      <c r="L466" s="163"/>
      <c r="N466" s="167"/>
      <c r="O466" s="168"/>
    </row>
    <row r="467">
      <c r="B467" s="90"/>
      <c r="C467" s="90"/>
      <c r="E467" s="166"/>
      <c r="J467" s="163"/>
      <c r="L467" s="163"/>
      <c r="N467" s="167"/>
      <c r="O467" s="168"/>
    </row>
    <row r="468">
      <c r="B468" s="90"/>
      <c r="C468" s="90"/>
      <c r="E468" s="166"/>
      <c r="J468" s="163"/>
      <c r="L468" s="163"/>
      <c r="N468" s="167"/>
      <c r="O468" s="168"/>
    </row>
    <row r="469">
      <c r="B469" s="90"/>
      <c r="C469" s="90"/>
      <c r="E469" s="166"/>
      <c r="J469" s="163"/>
      <c r="L469" s="163"/>
      <c r="N469" s="167"/>
      <c r="O469" s="168"/>
    </row>
    <row r="470">
      <c r="B470" s="90"/>
      <c r="C470" s="90"/>
      <c r="E470" s="166"/>
      <c r="J470" s="163"/>
      <c r="L470" s="163"/>
      <c r="N470" s="167"/>
      <c r="O470" s="168"/>
    </row>
    <row r="471">
      <c r="B471" s="90"/>
      <c r="C471" s="90"/>
      <c r="E471" s="166"/>
      <c r="J471" s="163"/>
      <c r="L471" s="163"/>
      <c r="N471" s="167"/>
      <c r="O471" s="168"/>
    </row>
    <row r="472">
      <c r="B472" s="90"/>
      <c r="C472" s="90"/>
      <c r="E472" s="166"/>
      <c r="J472" s="163"/>
      <c r="L472" s="163"/>
      <c r="N472" s="167"/>
      <c r="O472" s="168"/>
    </row>
    <row r="473">
      <c r="B473" s="90"/>
      <c r="C473" s="90"/>
      <c r="E473" s="166"/>
      <c r="J473" s="163"/>
      <c r="L473" s="163"/>
      <c r="N473" s="167"/>
      <c r="O473" s="168"/>
    </row>
    <row r="474">
      <c r="B474" s="90"/>
      <c r="C474" s="90"/>
      <c r="E474" s="166"/>
      <c r="J474" s="163"/>
      <c r="L474" s="163"/>
      <c r="N474" s="167"/>
      <c r="O474" s="168"/>
    </row>
    <row r="475">
      <c r="B475" s="90"/>
      <c r="C475" s="90"/>
      <c r="E475" s="166"/>
      <c r="J475" s="163"/>
      <c r="L475" s="163"/>
      <c r="N475" s="167"/>
      <c r="O475" s="168"/>
    </row>
    <row r="476">
      <c r="B476" s="90"/>
      <c r="C476" s="90"/>
      <c r="E476" s="166"/>
      <c r="J476" s="163"/>
      <c r="L476" s="163"/>
      <c r="N476" s="167"/>
      <c r="O476" s="168"/>
    </row>
    <row r="477">
      <c r="B477" s="90"/>
      <c r="C477" s="90"/>
      <c r="E477" s="166"/>
      <c r="J477" s="163"/>
      <c r="L477" s="163"/>
      <c r="N477" s="167"/>
      <c r="O477" s="168"/>
    </row>
    <row r="478">
      <c r="B478" s="90"/>
      <c r="C478" s="90"/>
      <c r="E478" s="166"/>
      <c r="J478" s="163"/>
      <c r="L478" s="163"/>
      <c r="N478" s="167"/>
      <c r="O478" s="168"/>
    </row>
    <row r="479">
      <c r="B479" s="90"/>
      <c r="C479" s="90"/>
      <c r="E479" s="166"/>
      <c r="J479" s="163"/>
      <c r="L479" s="163"/>
      <c r="N479" s="167"/>
      <c r="O479" s="168"/>
    </row>
    <row r="480">
      <c r="B480" s="90"/>
      <c r="C480" s="90"/>
      <c r="E480" s="166"/>
      <c r="J480" s="163"/>
      <c r="L480" s="163"/>
      <c r="N480" s="167"/>
      <c r="O480" s="168"/>
    </row>
    <row r="481">
      <c r="B481" s="90"/>
      <c r="C481" s="90"/>
      <c r="E481" s="166"/>
      <c r="J481" s="163"/>
      <c r="L481" s="163"/>
      <c r="N481" s="167"/>
      <c r="O481" s="168"/>
    </row>
    <row r="482">
      <c r="B482" s="90"/>
      <c r="C482" s="90"/>
      <c r="E482" s="166"/>
      <c r="J482" s="163"/>
      <c r="L482" s="163"/>
      <c r="N482" s="167"/>
      <c r="O482" s="168"/>
    </row>
    <row r="483">
      <c r="B483" s="90"/>
      <c r="C483" s="90"/>
      <c r="E483" s="166"/>
      <c r="J483" s="163"/>
      <c r="L483" s="163"/>
      <c r="N483" s="167"/>
      <c r="O483" s="168"/>
    </row>
    <row r="484">
      <c r="B484" s="90"/>
      <c r="C484" s="90"/>
      <c r="E484" s="166"/>
      <c r="J484" s="163"/>
      <c r="L484" s="163"/>
      <c r="N484" s="167"/>
      <c r="O484" s="168"/>
    </row>
    <row r="485">
      <c r="B485" s="90"/>
      <c r="C485" s="90"/>
      <c r="E485" s="166"/>
      <c r="J485" s="163"/>
      <c r="L485" s="163"/>
      <c r="N485" s="167"/>
      <c r="O485" s="168"/>
    </row>
    <row r="486">
      <c r="B486" s="90"/>
      <c r="C486" s="90"/>
      <c r="E486" s="166"/>
      <c r="J486" s="163"/>
      <c r="L486" s="163"/>
      <c r="N486" s="167"/>
      <c r="O486" s="168"/>
    </row>
    <row r="487">
      <c r="B487" s="90"/>
      <c r="C487" s="90"/>
      <c r="E487" s="166"/>
      <c r="J487" s="163"/>
      <c r="L487" s="163"/>
      <c r="N487" s="167"/>
      <c r="O487" s="168"/>
    </row>
    <row r="488">
      <c r="B488" s="90"/>
      <c r="C488" s="90"/>
      <c r="E488" s="166"/>
      <c r="J488" s="163"/>
      <c r="L488" s="163"/>
      <c r="N488" s="167"/>
      <c r="O488" s="168"/>
    </row>
    <row r="489">
      <c r="B489" s="90"/>
      <c r="C489" s="90"/>
      <c r="E489" s="166"/>
      <c r="J489" s="163"/>
      <c r="L489" s="163"/>
      <c r="N489" s="167"/>
      <c r="O489" s="168"/>
    </row>
    <row r="490">
      <c r="B490" s="90"/>
      <c r="C490" s="90"/>
      <c r="E490" s="166"/>
      <c r="J490" s="163"/>
      <c r="L490" s="163"/>
      <c r="N490" s="167"/>
      <c r="O490" s="168"/>
    </row>
    <row r="491">
      <c r="B491" s="90"/>
      <c r="C491" s="90"/>
      <c r="E491" s="166"/>
      <c r="J491" s="163"/>
      <c r="L491" s="163"/>
      <c r="N491" s="167"/>
      <c r="O491" s="168"/>
    </row>
    <row r="492">
      <c r="B492" s="90"/>
      <c r="C492" s="90"/>
      <c r="E492" s="166"/>
      <c r="J492" s="163"/>
      <c r="L492" s="163"/>
      <c r="N492" s="167"/>
      <c r="O492" s="168"/>
    </row>
    <row r="493">
      <c r="B493" s="90"/>
      <c r="C493" s="90"/>
      <c r="E493" s="166"/>
      <c r="J493" s="163"/>
      <c r="L493" s="163"/>
      <c r="N493" s="167"/>
      <c r="O493" s="168"/>
    </row>
    <row r="494">
      <c r="B494" s="90"/>
      <c r="C494" s="90"/>
      <c r="E494" s="166"/>
      <c r="J494" s="163"/>
      <c r="L494" s="163"/>
      <c r="N494" s="167"/>
      <c r="O494" s="168"/>
    </row>
    <row r="495">
      <c r="B495" s="90"/>
      <c r="C495" s="90"/>
      <c r="E495" s="166"/>
      <c r="J495" s="163"/>
      <c r="L495" s="163"/>
      <c r="N495" s="167"/>
      <c r="O495" s="168"/>
    </row>
    <row r="496">
      <c r="B496" s="90"/>
      <c r="C496" s="90"/>
      <c r="E496" s="166"/>
      <c r="J496" s="163"/>
      <c r="L496" s="163"/>
      <c r="N496" s="167"/>
      <c r="O496" s="168"/>
    </row>
    <row r="497">
      <c r="B497" s="90"/>
      <c r="C497" s="90"/>
      <c r="E497" s="166"/>
      <c r="J497" s="163"/>
      <c r="L497" s="163"/>
      <c r="N497" s="167"/>
      <c r="O497" s="168"/>
    </row>
    <row r="498">
      <c r="B498" s="90"/>
      <c r="C498" s="90"/>
      <c r="E498" s="166"/>
      <c r="J498" s="163"/>
      <c r="L498" s="163"/>
      <c r="N498" s="167"/>
      <c r="O498" s="168"/>
    </row>
    <row r="499">
      <c r="B499" s="90"/>
      <c r="C499" s="90"/>
      <c r="E499" s="166"/>
      <c r="J499" s="163"/>
      <c r="L499" s="163"/>
      <c r="N499" s="167"/>
      <c r="O499" s="168"/>
    </row>
    <row r="500">
      <c r="B500" s="90"/>
      <c r="C500" s="90"/>
      <c r="E500" s="166"/>
      <c r="J500" s="163"/>
      <c r="L500" s="163"/>
      <c r="N500" s="167"/>
      <c r="O500" s="168"/>
    </row>
    <row r="501">
      <c r="B501" s="90"/>
      <c r="C501" s="90"/>
      <c r="E501" s="166"/>
      <c r="J501" s="163"/>
      <c r="L501" s="163"/>
      <c r="N501" s="167"/>
      <c r="O501" s="168"/>
    </row>
    <row r="502">
      <c r="B502" s="90"/>
      <c r="C502" s="90"/>
      <c r="E502" s="166"/>
      <c r="J502" s="163"/>
      <c r="L502" s="163"/>
      <c r="N502" s="167"/>
      <c r="O502" s="168"/>
    </row>
    <row r="503">
      <c r="B503" s="90"/>
      <c r="C503" s="90"/>
      <c r="E503" s="166"/>
      <c r="J503" s="163"/>
      <c r="L503" s="163"/>
      <c r="N503" s="167"/>
      <c r="O503" s="168"/>
    </row>
    <row r="504">
      <c r="B504" s="90"/>
      <c r="C504" s="90"/>
      <c r="E504" s="166"/>
      <c r="J504" s="163"/>
      <c r="L504" s="163"/>
      <c r="N504" s="167"/>
      <c r="O504" s="168"/>
    </row>
    <row r="505">
      <c r="B505" s="90"/>
      <c r="C505" s="90"/>
      <c r="E505" s="166"/>
      <c r="J505" s="163"/>
      <c r="L505" s="163"/>
      <c r="N505" s="167"/>
      <c r="O505" s="168"/>
    </row>
    <row r="506">
      <c r="B506" s="90"/>
      <c r="C506" s="90"/>
      <c r="E506" s="166"/>
      <c r="J506" s="163"/>
      <c r="L506" s="163"/>
      <c r="N506" s="167"/>
      <c r="O506" s="168"/>
    </row>
    <row r="507">
      <c r="B507" s="90"/>
      <c r="C507" s="90"/>
      <c r="E507" s="166"/>
      <c r="J507" s="163"/>
      <c r="L507" s="163"/>
      <c r="N507" s="167"/>
      <c r="O507" s="168"/>
    </row>
    <row r="508">
      <c r="B508" s="90"/>
      <c r="C508" s="90"/>
      <c r="E508" s="166"/>
      <c r="J508" s="163"/>
      <c r="L508" s="163"/>
      <c r="N508" s="167"/>
      <c r="O508" s="168"/>
    </row>
    <row r="509">
      <c r="B509" s="90"/>
      <c r="C509" s="90"/>
      <c r="E509" s="166"/>
      <c r="J509" s="163"/>
      <c r="L509" s="163"/>
      <c r="N509" s="167"/>
      <c r="O509" s="168"/>
    </row>
    <row r="510">
      <c r="B510" s="90"/>
      <c r="C510" s="90"/>
      <c r="E510" s="166"/>
      <c r="J510" s="163"/>
      <c r="L510" s="163"/>
      <c r="N510" s="167"/>
      <c r="O510" s="168"/>
    </row>
    <row r="511">
      <c r="B511" s="90"/>
      <c r="C511" s="90"/>
      <c r="E511" s="166"/>
      <c r="J511" s="163"/>
      <c r="L511" s="163"/>
      <c r="N511" s="167"/>
      <c r="O511" s="168"/>
    </row>
    <row r="512">
      <c r="B512" s="90"/>
      <c r="C512" s="90"/>
      <c r="E512" s="166"/>
      <c r="J512" s="163"/>
      <c r="L512" s="163"/>
      <c r="N512" s="167"/>
      <c r="O512" s="168"/>
    </row>
    <row r="513">
      <c r="B513" s="90"/>
      <c r="C513" s="90"/>
      <c r="E513" s="166"/>
      <c r="J513" s="163"/>
      <c r="L513" s="163"/>
      <c r="N513" s="167"/>
      <c r="O513" s="168"/>
    </row>
    <row r="514">
      <c r="B514" s="90"/>
      <c r="C514" s="90"/>
      <c r="E514" s="166"/>
      <c r="J514" s="163"/>
      <c r="L514" s="163"/>
      <c r="N514" s="167"/>
      <c r="O514" s="168"/>
    </row>
    <row r="515">
      <c r="B515" s="90"/>
      <c r="C515" s="90"/>
      <c r="E515" s="166"/>
      <c r="J515" s="163"/>
      <c r="L515" s="163"/>
      <c r="N515" s="167"/>
      <c r="O515" s="168"/>
    </row>
    <row r="516">
      <c r="B516" s="90"/>
      <c r="C516" s="90"/>
      <c r="E516" s="166"/>
      <c r="J516" s="163"/>
      <c r="L516" s="163"/>
      <c r="N516" s="167"/>
      <c r="O516" s="168"/>
    </row>
    <row r="517">
      <c r="B517" s="90"/>
      <c r="C517" s="90"/>
      <c r="E517" s="166"/>
      <c r="J517" s="163"/>
      <c r="L517" s="163"/>
      <c r="N517" s="167"/>
      <c r="O517" s="168"/>
    </row>
    <row r="518">
      <c r="B518" s="90"/>
      <c r="C518" s="90"/>
      <c r="E518" s="166"/>
      <c r="J518" s="163"/>
      <c r="L518" s="163"/>
      <c r="N518" s="167"/>
      <c r="O518" s="168"/>
    </row>
    <row r="519">
      <c r="B519" s="90"/>
      <c r="C519" s="90"/>
      <c r="E519" s="166"/>
      <c r="J519" s="163"/>
      <c r="L519" s="163"/>
      <c r="N519" s="167"/>
      <c r="O519" s="168"/>
    </row>
    <row r="520">
      <c r="B520" s="90"/>
      <c r="C520" s="90"/>
      <c r="E520" s="166"/>
      <c r="J520" s="163"/>
      <c r="L520" s="163"/>
      <c r="N520" s="167"/>
      <c r="O520" s="168"/>
    </row>
    <row r="521">
      <c r="B521" s="90"/>
      <c r="C521" s="90"/>
      <c r="E521" s="166"/>
      <c r="J521" s="163"/>
      <c r="L521" s="163"/>
      <c r="N521" s="167"/>
      <c r="O521" s="168"/>
    </row>
    <row r="522">
      <c r="B522" s="90"/>
      <c r="C522" s="90"/>
      <c r="E522" s="166"/>
      <c r="J522" s="163"/>
      <c r="L522" s="163"/>
      <c r="N522" s="167"/>
      <c r="O522" s="168"/>
    </row>
    <row r="523">
      <c r="B523" s="90"/>
      <c r="C523" s="90"/>
      <c r="E523" s="166"/>
      <c r="J523" s="163"/>
      <c r="L523" s="163"/>
      <c r="N523" s="167"/>
      <c r="O523" s="168"/>
    </row>
    <row r="524">
      <c r="B524" s="90"/>
      <c r="C524" s="90"/>
      <c r="E524" s="166"/>
      <c r="J524" s="163"/>
      <c r="L524" s="163"/>
      <c r="N524" s="167"/>
      <c r="O524" s="168"/>
    </row>
    <row r="525">
      <c r="B525" s="90"/>
      <c r="C525" s="90"/>
      <c r="E525" s="166"/>
      <c r="J525" s="163"/>
      <c r="L525" s="163"/>
      <c r="N525" s="167"/>
      <c r="O525" s="168"/>
    </row>
    <row r="526">
      <c r="B526" s="90"/>
      <c r="C526" s="90"/>
      <c r="E526" s="166"/>
      <c r="J526" s="163"/>
      <c r="L526" s="163"/>
      <c r="N526" s="167"/>
      <c r="O526" s="168"/>
    </row>
    <row r="527">
      <c r="B527" s="90"/>
      <c r="C527" s="90"/>
      <c r="E527" s="166"/>
      <c r="J527" s="163"/>
      <c r="L527" s="163"/>
      <c r="N527" s="167"/>
      <c r="O527" s="168"/>
    </row>
    <row r="528">
      <c r="B528" s="90"/>
      <c r="C528" s="90"/>
      <c r="E528" s="166"/>
      <c r="J528" s="163"/>
      <c r="L528" s="163"/>
      <c r="N528" s="167"/>
      <c r="O528" s="168"/>
    </row>
    <row r="529">
      <c r="B529" s="90"/>
      <c r="C529" s="90"/>
      <c r="E529" s="166"/>
      <c r="J529" s="163"/>
      <c r="L529" s="163"/>
      <c r="N529" s="167"/>
      <c r="O529" s="168"/>
    </row>
    <row r="530">
      <c r="B530" s="90"/>
      <c r="C530" s="90"/>
      <c r="E530" s="166"/>
      <c r="J530" s="163"/>
      <c r="L530" s="163"/>
      <c r="N530" s="167"/>
      <c r="O530" s="168"/>
    </row>
    <row r="531">
      <c r="B531" s="90"/>
      <c r="C531" s="90"/>
      <c r="E531" s="166"/>
      <c r="J531" s="163"/>
      <c r="L531" s="163"/>
      <c r="N531" s="167"/>
      <c r="O531" s="168"/>
    </row>
    <row r="532">
      <c r="B532" s="90"/>
      <c r="C532" s="90"/>
      <c r="E532" s="166"/>
      <c r="J532" s="163"/>
      <c r="L532" s="163"/>
      <c r="N532" s="167"/>
      <c r="O532" s="168"/>
    </row>
    <row r="533">
      <c r="B533" s="90"/>
      <c r="C533" s="90"/>
      <c r="E533" s="166"/>
      <c r="J533" s="163"/>
      <c r="L533" s="163"/>
      <c r="N533" s="167"/>
      <c r="O533" s="168"/>
    </row>
    <row r="534">
      <c r="B534" s="90"/>
      <c r="C534" s="90"/>
      <c r="E534" s="166"/>
      <c r="J534" s="163"/>
      <c r="L534" s="163"/>
      <c r="N534" s="167"/>
      <c r="O534" s="168"/>
    </row>
    <row r="535">
      <c r="B535" s="90"/>
      <c r="C535" s="90"/>
      <c r="E535" s="166"/>
      <c r="J535" s="163"/>
      <c r="L535" s="163"/>
      <c r="N535" s="167"/>
      <c r="O535" s="168"/>
    </row>
    <row r="536">
      <c r="B536" s="90"/>
      <c r="C536" s="90"/>
      <c r="E536" s="166"/>
      <c r="J536" s="163"/>
      <c r="L536" s="163"/>
      <c r="N536" s="167"/>
      <c r="O536" s="168"/>
    </row>
    <row r="537">
      <c r="B537" s="90"/>
      <c r="C537" s="90"/>
      <c r="E537" s="166"/>
      <c r="J537" s="163"/>
      <c r="L537" s="163"/>
      <c r="N537" s="167"/>
      <c r="O537" s="168"/>
    </row>
    <row r="538">
      <c r="B538" s="90"/>
      <c r="C538" s="90"/>
      <c r="E538" s="166"/>
      <c r="J538" s="163"/>
      <c r="L538" s="163"/>
      <c r="N538" s="167"/>
      <c r="O538" s="168"/>
    </row>
    <row r="539">
      <c r="B539" s="90"/>
      <c r="C539" s="90"/>
      <c r="E539" s="166"/>
      <c r="J539" s="163"/>
      <c r="L539" s="163"/>
      <c r="N539" s="167"/>
      <c r="O539" s="168"/>
    </row>
    <row r="540">
      <c r="B540" s="90"/>
      <c r="C540" s="90"/>
      <c r="E540" s="166"/>
      <c r="J540" s="163"/>
      <c r="L540" s="163"/>
      <c r="N540" s="167"/>
      <c r="O540" s="168"/>
    </row>
    <row r="541">
      <c r="B541" s="90"/>
      <c r="C541" s="90"/>
      <c r="E541" s="166"/>
      <c r="J541" s="163"/>
      <c r="L541" s="163"/>
      <c r="N541" s="167"/>
      <c r="O541" s="168"/>
    </row>
    <row r="542">
      <c r="B542" s="90"/>
      <c r="C542" s="90"/>
      <c r="E542" s="166"/>
      <c r="J542" s="163"/>
      <c r="L542" s="163"/>
      <c r="N542" s="167"/>
      <c r="O542" s="168"/>
    </row>
    <row r="543">
      <c r="B543" s="90"/>
      <c r="C543" s="90"/>
      <c r="E543" s="166"/>
      <c r="J543" s="163"/>
      <c r="L543" s="163"/>
      <c r="N543" s="167"/>
      <c r="O543" s="168"/>
    </row>
    <row r="544">
      <c r="B544" s="90"/>
      <c r="C544" s="90"/>
      <c r="E544" s="166"/>
      <c r="J544" s="163"/>
      <c r="L544" s="163"/>
      <c r="N544" s="167"/>
      <c r="O544" s="168"/>
    </row>
    <row r="545">
      <c r="B545" s="90"/>
      <c r="C545" s="90"/>
      <c r="E545" s="166"/>
      <c r="J545" s="163"/>
      <c r="L545" s="163"/>
      <c r="N545" s="167"/>
      <c r="O545" s="168"/>
    </row>
    <row r="546">
      <c r="B546" s="90"/>
      <c r="C546" s="90"/>
      <c r="E546" s="166"/>
      <c r="J546" s="163"/>
      <c r="L546" s="163"/>
      <c r="N546" s="167"/>
      <c r="O546" s="168"/>
    </row>
    <row r="547">
      <c r="B547" s="90"/>
      <c r="C547" s="90"/>
      <c r="E547" s="166"/>
      <c r="J547" s="163"/>
      <c r="L547" s="163"/>
      <c r="N547" s="167"/>
      <c r="O547" s="168"/>
    </row>
    <row r="548">
      <c r="B548" s="90"/>
      <c r="C548" s="90"/>
      <c r="E548" s="166"/>
      <c r="J548" s="163"/>
      <c r="L548" s="163"/>
      <c r="N548" s="167"/>
      <c r="O548" s="168"/>
    </row>
    <row r="549">
      <c r="B549" s="90"/>
      <c r="C549" s="90"/>
      <c r="E549" s="166"/>
      <c r="J549" s="163"/>
      <c r="L549" s="163"/>
      <c r="N549" s="167"/>
      <c r="O549" s="168"/>
    </row>
    <row r="550">
      <c r="B550" s="90"/>
      <c r="C550" s="90"/>
      <c r="E550" s="166"/>
      <c r="J550" s="163"/>
      <c r="L550" s="163"/>
      <c r="N550" s="167"/>
      <c r="O550" s="168"/>
    </row>
    <row r="551">
      <c r="B551" s="90"/>
      <c r="C551" s="90"/>
      <c r="E551" s="166"/>
      <c r="J551" s="163"/>
      <c r="L551" s="163"/>
      <c r="N551" s="167"/>
      <c r="O551" s="168"/>
    </row>
    <row r="552">
      <c r="B552" s="90"/>
      <c r="C552" s="90"/>
      <c r="E552" s="166"/>
      <c r="J552" s="163"/>
      <c r="L552" s="163"/>
      <c r="N552" s="167"/>
      <c r="O552" s="168"/>
    </row>
    <row r="553">
      <c r="B553" s="90"/>
      <c r="C553" s="90"/>
      <c r="E553" s="166"/>
      <c r="J553" s="163"/>
      <c r="L553" s="163"/>
      <c r="N553" s="167"/>
      <c r="O553" s="168"/>
    </row>
    <row r="554">
      <c r="B554" s="90"/>
      <c r="C554" s="90"/>
      <c r="E554" s="166"/>
      <c r="J554" s="163"/>
      <c r="L554" s="163"/>
      <c r="N554" s="167"/>
      <c r="O554" s="168"/>
    </row>
    <row r="555">
      <c r="B555" s="90"/>
      <c r="C555" s="90"/>
      <c r="E555" s="166"/>
      <c r="J555" s="163"/>
      <c r="L555" s="163"/>
      <c r="N555" s="167"/>
      <c r="O555" s="168"/>
    </row>
    <row r="556">
      <c r="B556" s="90"/>
      <c r="C556" s="90"/>
      <c r="E556" s="166"/>
      <c r="J556" s="163"/>
      <c r="L556" s="163"/>
      <c r="N556" s="167"/>
      <c r="O556" s="168"/>
    </row>
    <row r="557">
      <c r="B557" s="90"/>
      <c r="C557" s="90"/>
      <c r="E557" s="166"/>
      <c r="J557" s="163"/>
      <c r="L557" s="163"/>
      <c r="N557" s="167"/>
      <c r="O557" s="168"/>
    </row>
    <row r="558">
      <c r="B558" s="90"/>
      <c r="C558" s="90"/>
      <c r="E558" s="166"/>
      <c r="J558" s="163"/>
      <c r="L558" s="163"/>
      <c r="N558" s="167"/>
      <c r="O558" s="168"/>
    </row>
    <row r="559">
      <c r="B559" s="90"/>
      <c r="C559" s="90"/>
      <c r="E559" s="166"/>
      <c r="J559" s="163"/>
      <c r="L559" s="163"/>
      <c r="N559" s="167"/>
      <c r="O559" s="168"/>
    </row>
    <row r="560">
      <c r="B560" s="90"/>
      <c r="C560" s="90"/>
      <c r="E560" s="166"/>
      <c r="J560" s="163"/>
      <c r="L560" s="163"/>
      <c r="N560" s="167"/>
      <c r="O560" s="168"/>
    </row>
    <row r="561">
      <c r="B561" s="90"/>
      <c r="C561" s="90"/>
      <c r="E561" s="166"/>
      <c r="J561" s="163"/>
      <c r="L561" s="163"/>
      <c r="N561" s="167"/>
      <c r="O561" s="168"/>
    </row>
    <row r="562">
      <c r="B562" s="90"/>
      <c r="C562" s="90"/>
      <c r="E562" s="166"/>
      <c r="J562" s="163"/>
      <c r="L562" s="163"/>
      <c r="N562" s="167"/>
      <c r="O562" s="168"/>
    </row>
    <row r="563">
      <c r="B563" s="90"/>
      <c r="C563" s="90"/>
      <c r="E563" s="166"/>
      <c r="J563" s="163"/>
      <c r="L563" s="163"/>
      <c r="N563" s="167"/>
      <c r="O563" s="168"/>
    </row>
    <row r="564">
      <c r="B564" s="90"/>
      <c r="C564" s="90"/>
      <c r="E564" s="166"/>
      <c r="J564" s="163"/>
      <c r="L564" s="163"/>
      <c r="N564" s="167"/>
      <c r="O564" s="168"/>
    </row>
    <row r="565">
      <c r="B565" s="90"/>
      <c r="C565" s="90"/>
      <c r="E565" s="166"/>
      <c r="J565" s="163"/>
      <c r="L565" s="163"/>
      <c r="N565" s="167"/>
      <c r="O565" s="168"/>
    </row>
    <row r="566">
      <c r="B566" s="90"/>
      <c r="C566" s="90"/>
      <c r="E566" s="166"/>
      <c r="J566" s="163"/>
      <c r="L566" s="163"/>
      <c r="N566" s="167"/>
      <c r="O566" s="168"/>
    </row>
    <row r="567">
      <c r="B567" s="90"/>
      <c r="C567" s="90"/>
      <c r="E567" s="166"/>
      <c r="J567" s="163"/>
      <c r="L567" s="163"/>
      <c r="N567" s="167"/>
      <c r="O567" s="168"/>
    </row>
    <row r="568">
      <c r="B568" s="90"/>
      <c r="C568" s="90"/>
      <c r="E568" s="166"/>
      <c r="J568" s="163"/>
      <c r="L568" s="163"/>
      <c r="N568" s="167"/>
      <c r="O568" s="168"/>
    </row>
    <row r="569">
      <c r="B569" s="90"/>
      <c r="C569" s="90"/>
      <c r="E569" s="166"/>
      <c r="J569" s="163"/>
      <c r="L569" s="163"/>
      <c r="N569" s="167"/>
      <c r="O569" s="168"/>
    </row>
    <row r="570">
      <c r="B570" s="90"/>
      <c r="C570" s="90"/>
      <c r="E570" s="166"/>
      <c r="J570" s="163"/>
      <c r="L570" s="163"/>
      <c r="N570" s="167"/>
      <c r="O570" s="168"/>
    </row>
    <row r="571">
      <c r="B571" s="90"/>
      <c r="C571" s="90"/>
      <c r="E571" s="166"/>
      <c r="J571" s="163"/>
      <c r="L571" s="163"/>
      <c r="N571" s="167"/>
      <c r="O571" s="168"/>
    </row>
    <row r="572">
      <c r="B572" s="90"/>
      <c r="C572" s="90"/>
      <c r="E572" s="166"/>
      <c r="J572" s="163"/>
      <c r="L572" s="163"/>
      <c r="N572" s="167"/>
      <c r="O572" s="168"/>
    </row>
    <row r="573">
      <c r="B573" s="90"/>
      <c r="C573" s="90"/>
      <c r="E573" s="166"/>
      <c r="J573" s="163"/>
      <c r="L573" s="163"/>
      <c r="N573" s="167"/>
      <c r="O573" s="168"/>
    </row>
    <row r="574">
      <c r="B574" s="90"/>
      <c r="C574" s="90"/>
      <c r="E574" s="166"/>
      <c r="J574" s="163"/>
      <c r="L574" s="163"/>
      <c r="N574" s="167"/>
      <c r="O574" s="168"/>
    </row>
    <row r="575">
      <c r="B575" s="90"/>
      <c r="C575" s="90"/>
      <c r="E575" s="166"/>
      <c r="J575" s="163"/>
      <c r="L575" s="163"/>
      <c r="N575" s="167"/>
      <c r="O575" s="168"/>
    </row>
    <row r="576">
      <c r="B576" s="90"/>
      <c r="C576" s="90"/>
      <c r="E576" s="166"/>
      <c r="J576" s="163"/>
      <c r="L576" s="163"/>
      <c r="N576" s="167"/>
      <c r="O576" s="168"/>
    </row>
    <row r="577">
      <c r="B577" s="90"/>
      <c r="C577" s="90"/>
      <c r="E577" s="166"/>
      <c r="J577" s="163"/>
      <c r="L577" s="163"/>
      <c r="N577" s="167"/>
      <c r="O577" s="168"/>
    </row>
    <row r="578">
      <c r="B578" s="90"/>
      <c r="C578" s="90"/>
      <c r="E578" s="166"/>
      <c r="J578" s="163"/>
      <c r="L578" s="163"/>
      <c r="N578" s="167"/>
      <c r="O578" s="168"/>
    </row>
    <row r="579">
      <c r="B579" s="90"/>
      <c r="C579" s="90"/>
      <c r="E579" s="166"/>
      <c r="J579" s="163"/>
      <c r="L579" s="163"/>
      <c r="N579" s="167"/>
      <c r="O579" s="168"/>
    </row>
    <row r="580">
      <c r="B580" s="90"/>
      <c r="C580" s="90"/>
      <c r="E580" s="166"/>
      <c r="J580" s="163"/>
      <c r="L580" s="163"/>
      <c r="N580" s="167"/>
      <c r="O580" s="168"/>
    </row>
    <row r="581">
      <c r="B581" s="90"/>
      <c r="C581" s="90"/>
      <c r="E581" s="166"/>
      <c r="J581" s="163"/>
      <c r="L581" s="163"/>
      <c r="N581" s="167"/>
      <c r="O581" s="168"/>
    </row>
    <row r="582">
      <c r="B582" s="90"/>
      <c r="C582" s="90"/>
      <c r="E582" s="166"/>
      <c r="J582" s="163"/>
      <c r="L582" s="163"/>
      <c r="N582" s="167"/>
      <c r="O582" s="168"/>
    </row>
    <row r="583">
      <c r="B583" s="90"/>
      <c r="C583" s="90"/>
      <c r="E583" s="166"/>
      <c r="J583" s="163"/>
      <c r="L583" s="163"/>
      <c r="N583" s="167"/>
      <c r="O583" s="168"/>
    </row>
    <row r="584">
      <c r="B584" s="90"/>
      <c r="C584" s="90"/>
      <c r="E584" s="166"/>
      <c r="J584" s="163"/>
      <c r="L584" s="163"/>
      <c r="N584" s="167"/>
      <c r="O584" s="168"/>
    </row>
    <row r="585">
      <c r="B585" s="90"/>
      <c r="C585" s="90"/>
      <c r="E585" s="166"/>
      <c r="J585" s="163"/>
      <c r="L585" s="163"/>
      <c r="N585" s="167"/>
      <c r="O585" s="168"/>
    </row>
    <row r="586">
      <c r="B586" s="90"/>
      <c r="C586" s="90"/>
      <c r="E586" s="166"/>
      <c r="J586" s="163"/>
      <c r="L586" s="163"/>
      <c r="N586" s="167"/>
      <c r="O586" s="168"/>
    </row>
    <row r="587">
      <c r="B587" s="90"/>
      <c r="C587" s="90"/>
      <c r="E587" s="166"/>
      <c r="J587" s="163"/>
      <c r="L587" s="163"/>
      <c r="N587" s="167"/>
      <c r="O587" s="168"/>
    </row>
    <row r="588">
      <c r="B588" s="90"/>
      <c r="C588" s="90"/>
      <c r="E588" s="166"/>
      <c r="J588" s="163"/>
      <c r="L588" s="163"/>
      <c r="N588" s="167"/>
      <c r="O588" s="168"/>
    </row>
    <row r="589">
      <c r="B589" s="90"/>
      <c r="C589" s="90"/>
      <c r="E589" s="166"/>
      <c r="J589" s="163"/>
      <c r="L589" s="163"/>
      <c r="N589" s="167"/>
      <c r="O589" s="168"/>
    </row>
    <row r="590">
      <c r="B590" s="90"/>
      <c r="C590" s="90"/>
      <c r="E590" s="166"/>
      <c r="J590" s="163"/>
      <c r="L590" s="163"/>
      <c r="N590" s="167"/>
      <c r="O590" s="168"/>
    </row>
    <row r="591">
      <c r="B591" s="90"/>
      <c r="C591" s="90"/>
      <c r="E591" s="166"/>
      <c r="J591" s="163"/>
      <c r="L591" s="163"/>
      <c r="N591" s="167"/>
      <c r="O591" s="168"/>
    </row>
    <row r="592">
      <c r="B592" s="90"/>
      <c r="C592" s="90"/>
      <c r="E592" s="166"/>
      <c r="J592" s="163"/>
      <c r="L592" s="163"/>
      <c r="N592" s="167"/>
      <c r="O592" s="168"/>
    </row>
    <row r="593">
      <c r="B593" s="90"/>
      <c r="C593" s="90"/>
      <c r="E593" s="166"/>
      <c r="J593" s="163"/>
      <c r="L593" s="163"/>
      <c r="N593" s="167"/>
      <c r="O593" s="168"/>
    </row>
    <row r="594">
      <c r="B594" s="90"/>
      <c r="C594" s="90"/>
      <c r="E594" s="166"/>
      <c r="J594" s="163"/>
      <c r="L594" s="163"/>
      <c r="N594" s="167"/>
      <c r="O594" s="168"/>
    </row>
    <row r="595">
      <c r="B595" s="90"/>
      <c r="C595" s="90"/>
      <c r="E595" s="166"/>
      <c r="J595" s="163"/>
      <c r="L595" s="163"/>
      <c r="N595" s="167"/>
      <c r="O595" s="168"/>
    </row>
    <row r="596">
      <c r="B596" s="90"/>
      <c r="C596" s="90"/>
      <c r="E596" s="166"/>
      <c r="J596" s="163"/>
      <c r="L596" s="163"/>
      <c r="N596" s="167"/>
      <c r="O596" s="168"/>
    </row>
    <row r="597">
      <c r="B597" s="90"/>
      <c r="C597" s="90"/>
      <c r="E597" s="166"/>
      <c r="J597" s="163"/>
      <c r="L597" s="163"/>
      <c r="N597" s="167"/>
      <c r="O597" s="168"/>
    </row>
    <row r="598">
      <c r="B598" s="90"/>
      <c r="C598" s="90"/>
      <c r="E598" s="166"/>
      <c r="J598" s="163"/>
      <c r="L598" s="163"/>
      <c r="N598" s="167"/>
      <c r="O598" s="168"/>
    </row>
    <row r="599">
      <c r="B599" s="90"/>
      <c r="C599" s="90"/>
      <c r="E599" s="166"/>
      <c r="J599" s="163"/>
      <c r="L599" s="163"/>
      <c r="N599" s="167"/>
      <c r="O599" s="168"/>
    </row>
    <row r="600">
      <c r="B600" s="90"/>
      <c r="C600" s="90"/>
      <c r="E600" s="166"/>
      <c r="J600" s="163"/>
      <c r="L600" s="163"/>
      <c r="N600" s="167"/>
      <c r="O600" s="168"/>
    </row>
    <row r="601">
      <c r="B601" s="90"/>
      <c r="C601" s="90"/>
      <c r="E601" s="166"/>
      <c r="J601" s="163"/>
      <c r="L601" s="163"/>
      <c r="N601" s="167"/>
      <c r="O601" s="168"/>
    </row>
    <row r="602">
      <c r="B602" s="90"/>
      <c r="C602" s="90"/>
      <c r="E602" s="166"/>
      <c r="J602" s="163"/>
      <c r="L602" s="163"/>
      <c r="N602" s="167"/>
      <c r="O602" s="168"/>
    </row>
    <row r="603">
      <c r="B603" s="90"/>
      <c r="C603" s="90"/>
      <c r="E603" s="166"/>
      <c r="J603" s="163"/>
      <c r="L603" s="163"/>
      <c r="N603" s="167"/>
      <c r="O603" s="168"/>
    </row>
    <row r="604">
      <c r="B604" s="90"/>
      <c r="C604" s="90"/>
      <c r="E604" s="166"/>
      <c r="J604" s="163"/>
      <c r="L604" s="163"/>
      <c r="N604" s="167"/>
      <c r="O604" s="168"/>
    </row>
    <row r="605">
      <c r="B605" s="90"/>
      <c r="C605" s="90"/>
      <c r="E605" s="166"/>
      <c r="J605" s="163"/>
      <c r="L605" s="163"/>
      <c r="N605" s="167"/>
      <c r="O605" s="168"/>
    </row>
    <row r="606">
      <c r="B606" s="90"/>
      <c r="C606" s="90"/>
      <c r="E606" s="166"/>
      <c r="J606" s="163"/>
      <c r="L606" s="163"/>
      <c r="N606" s="167"/>
      <c r="O606" s="168"/>
    </row>
    <row r="607">
      <c r="B607" s="90"/>
      <c r="C607" s="90"/>
      <c r="E607" s="166"/>
      <c r="J607" s="163"/>
      <c r="L607" s="163"/>
      <c r="N607" s="167"/>
      <c r="O607" s="168"/>
    </row>
    <row r="608">
      <c r="B608" s="90"/>
      <c r="C608" s="90"/>
      <c r="E608" s="166"/>
      <c r="J608" s="163"/>
      <c r="L608" s="163"/>
      <c r="N608" s="167"/>
      <c r="O608" s="168"/>
    </row>
    <row r="609">
      <c r="B609" s="90"/>
      <c r="C609" s="90"/>
      <c r="E609" s="166"/>
      <c r="J609" s="163"/>
      <c r="L609" s="163"/>
      <c r="N609" s="167"/>
      <c r="O609" s="168"/>
    </row>
    <row r="610">
      <c r="B610" s="90"/>
      <c r="C610" s="90"/>
      <c r="E610" s="166"/>
      <c r="J610" s="163"/>
      <c r="L610" s="163"/>
      <c r="N610" s="167"/>
      <c r="O610" s="168"/>
    </row>
    <row r="611">
      <c r="B611" s="90"/>
      <c r="C611" s="90"/>
      <c r="E611" s="166"/>
      <c r="J611" s="163"/>
      <c r="L611" s="163"/>
      <c r="N611" s="167"/>
      <c r="O611" s="168"/>
    </row>
    <row r="612">
      <c r="B612" s="90"/>
      <c r="C612" s="90"/>
      <c r="E612" s="166"/>
      <c r="J612" s="163"/>
      <c r="L612" s="163"/>
      <c r="N612" s="167"/>
      <c r="O612" s="168"/>
    </row>
    <row r="613">
      <c r="B613" s="90"/>
      <c r="C613" s="90"/>
      <c r="E613" s="166"/>
      <c r="J613" s="163"/>
      <c r="L613" s="163"/>
      <c r="N613" s="167"/>
      <c r="O613" s="168"/>
    </row>
    <row r="614">
      <c r="B614" s="90"/>
      <c r="C614" s="90"/>
      <c r="E614" s="166"/>
      <c r="J614" s="163"/>
      <c r="L614" s="163"/>
      <c r="N614" s="167"/>
      <c r="O614" s="168"/>
    </row>
    <row r="615">
      <c r="B615" s="90"/>
      <c r="C615" s="90"/>
      <c r="E615" s="166"/>
      <c r="J615" s="163"/>
      <c r="L615" s="163"/>
      <c r="N615" s="167"/>
      <c r="O615" s="168"/>
    </row>
    <row r="616">
      <c r="B616" s="90"/>
      <c r="C616" s="90"/>
      <c r="E616" s="166"/>
      <c r="J616" s="163"/>
      <c r="L616" s="163"/>
      <c r="N616" s="167"/>
      <c r="O616" s="168"/>
    </row>
    <row r="617">
      <c r="B617" s="90"/>
      <c r="C617" s="90"/>
      <c r="E617" s="166"/>
      <c r="J617" s="163"/>
      <c r="L617" s="163"/>
      <c r="N617" s="167"/>
      <c r="O617" s="168"/>
    </row>
    <row r="618">
      <c r="B618" s="90"/>
      <c r="C618" s="90"/>
      <c r="E618" s="166"/>
      <c r="J618" s="163"/>
      <c r="L618" s="163"/>
      <c r="N618" s="167"/>
      <c r="O618" s="168"/>
    </row>
    <row r="619">
      <c r="B619" s="90"/>
      <c r="C619" s="90"/>
      <c r="E619" s="166"/>
      <c r="J619" s="163"/>
      <c r="L619" s="163"/>
      <c r="N619" s="167"/>
      <c r="O619" s="168"/>
    </row>
    <row r="620">
      <c r="B620" s="90"/>
      <c r="C620" s="90"/>
      <c r="E620" s="166"/>
      <c r="J620" s="163"/>
      <c r="L620" s="163"/>
      <c r="N620" s="167"/>
      <c r="O620" s="168"/>
    </row>
    <row r="621">
      <c r="B621" s="90"/>
      <c r="C621" s="90"/>
      <c r="E621" s="166"/>
      <c r="J621" s="163"/>
      <c r="L621" s="163"/>
      <c r="N621" s="167"/>
      <c r="O621" s="168"/>
    </row>
    <row r="622">
      <c r="B622" s="90"/>
      <c r="C622" s="90"/>
      <c r="E622" s="166"/>
      <c r="J622" s="163"/>
      <c r="L622" s="163"/>
      <c r="N622" s="167"/>
      <c r="O622" s="168"/>
    </row>
    <row r="623">
      <c r="B623" s="90"/>
      <c r="C623" s="90"/>
      <c r="E623" s="166"/>
      <c r="J623" s="163"/>
      <c r="L623" s="163"/>
      <c r="N623" s="167"/>
      <c r="O623" s="168"/>
    </row>
    <row r="624">
      <c r="B624" s="90"/>
      <c r="C624" s="90"/>
      <c r="E624" s="166"/>
      <c r="J624" s="163"/>
      <c r="L624" s="163"/>
      <c r="N624" s="167"/>
      <c r="O624" s="168"/>
    </row>
    <row r="625">
      <c r="B625" s="90"/>
      <c r="C625" s="90"/>
      <c r="E625" s="166"/>
      <c r="J625" s="163"/>
      <c r="L625" s="163"/>
      <c r="N625" s="167"/>
      <c r="O625" s="168"/>
    </row>
    <row r="626">
      <c r="B626" s="90"/>
      <c r="C626" s="90"/>
      <c r="E626" s="166"/>
      <c r="J626" s="163"/>
      <c r="L626" s="163"/>
      <c r="N626" s="167"/>
      <c r="O626" s="168"/>
    </row>
    <row r="627">
      <c r="B627" s="90"/>
      <c r="C627" s="90"/>
      <c r="E627" s="166"/>
      <c r="J627" s="163"/>
      <c r="L627" s="163"/>
      <c r="N627" s="167"/>
      <c r="O627" s="168"/>
    </row>
    <row r="628">
      <c r="B628" s="90"/>
      <c r="C628" s="90"/>
      <c r="E628" s="166"/>
      <c r="J628" s="163"/>
      <c r="L628" s="163"/>
      <c r="N628" s="167"/>
      <c r="O628" s="168"/>
    </row>
    <row r="629">
      <c r="B629" s="90"/>
      <c r="C629" s="90"/>
      <c r="E629" s="166"/>
      <c r="J629" s="163"/>
      <c r="L629" s="163"/>
      <c r="N629" s="167"/>
      <c r="O629" s="168"/>
    </row>
    <row r="630">
      <c r="B630" s="90"/>
      <c r="C630" s="90"/>
      <c r="E630" s="166"/>
      <c r="J630" s="163"/>
      <c r="L630" s="163"/>
      <c r="N630" s="167"/>
      <c r="O630" s="168"/>
    </row>
    <row r="631">
      <c r="B631" s="90"/>
      <c r="C631" s="90"/>
      <c r="E631" s="166"/>
      <c r="J631" s="163"/>
      <c r="L631" s="163"/>
      <c r="N631" s="167"/>
      <c r="O631" s="168"/>
    </row>
    <row r="632">
      <c r="B632" s="90"/>
      <c r="C632" s="90"/>
      <c r="E632" s="166"/>
      <c r="J632" s="163"/>
      <c r="L632" s="163"/>
      <c r="N632" s="167"/>
      <c r="O632" s="168"/>
    </row>
    <row r="633">
      <c r="B633" s="90"/>
      <c r="C633" s="90"/>
      <c r="E633" s="166"/>
      <c r="J633" s="163"/>
      <c r="L633" s="163"/>
      <c r="N633" s="167"/>
      <c r="O633" s="168"/>
    </row>
    <row r="634">
      <c r="B634" s="90"/>
      <c r="C634" s="90"/>
      <c r="E634" s="166"/>
      <c r="J634" s="163"/>
      <c r="L634" s="163"/>
      <c r="N634" s="167"/>
      <c r="O634" s="168"/>
    </row>
    <row r="635">
      <c r="B635" s="90"/>
      <c r="C635" s="90"/>
      <c r="E635" s="166"/>
      <c r="J635" s="163"/>
      <c r="L635" s="163"/>
      <c r="N635" s="167"/>
      <c r="O635" s="168"/>
    </row>
    <row r="636">
      <c r="B636" s="90"/>
      <c r="C636" s="90"/>
      <c r="E636" s="166"/>
      <c r="J636" s="163"/>
      <c r="L636" s="163"/>
      <c r="N636" s="167"/>
      <c r="O636" s="168"/>
    </row>
    <row r="637">
      <c r="B637" s="90"/>
      <c r="C637" s="90"/>
      <c r="E637" s="166"/>
      <c r="J637" s="163"/>
      <c r="L637" s="163"/>
      <c r="N637" s="167"/>
      <c r="O637" s="168"/>
    </row>
    <row r="638">
      <c r="B638" s="90"/>
      <c r="C638" s="90"/>
      <c r="E638" s="166"/>
      <c r="J638" s="163"/>
      <c r="L638" s="163"/>
      <c r="N638" s="167"/>
      <c r="O638" s="168"/>
    </row>
    <row r="639">
      <c r="B639" s="90"/>
      <c r="C639" s="90"/>
      <c r="E639" s="166"/>
      <c r="J639" s="163"/>
      <c r="L639" s="163"/>
      <c r="N639" s="167"/>
      <c r="O639" s="168"/>
    </row>
    <row r="640">
      <c r="B640" s="90"/>
      <c r="C640" s="90"/>
      <c r="E640" s="166"/>
      <c r="J640" s="163"/>
      <c r="L640" s="163"/>
      <c r="N640" s="167"/>
      <c r="O640" s="168"/>
    </row>
    <row r="641">
      <c r="B641" s="90"/>
      <c r="C641" s="90"/>
      <c r="E641" s="166"/>
      <c r="J641" s="163"/>
      <c r="L641" s="163"/>
      <c r="N641" s="167"/>
      <c r="O641" s="168"/>
    </row>
    <row r="642">
      <c r="B642" s="90"/>
      <c r="C642" s="90"/>
      <c r="E642" s="166"/>
      <c r="J642" s="163"/>
      <c r="L642" s="163"/>
      <c r="N642" s="167"/>
      <c r="O642" s="168"/>
    </row>
    <row r="643">
      <c r="B643" s="90"/>
      <c r="C643" s="90"/>
      <c r="E643" s="166"/>
      <c r="J643" s="163"/>
      <c r="L643" s="163"/>
      <c r="N643" s="167"/>
      <c r="O643" s="168"/>
    </row>
    <row r="644">
      <c r="B644" s="90"/>
      <c r="C644" s="90"/>
      <c r="E644" s="166"/>
      <c r="J644" s="163"/>
      <c r="L644" s="163"/>
      <c r="N644" s="167"/>
      <c r="O644" s="168"/>
    </row>
    <row r="645">
      <c r="B645" s="90"/>
      <c r="C645" s="90"/>
      <c r="E645" s="166"/>
      <c r="J645" s="163"/>
      <c r="L645" s="163"/>
      <c r="N645" s="167"/>
      <c r="O645" s="168"/>
    </row>
    <row r="646">
      <c r="B646" s="90"/>
      <c r="C646" s="90"/>
      <c r="E646" s="166"/>
      <c r="J646" s="163"/>
      <c r="L646" s="163"/>
      <c r="N646" s="167"/>
      <c r="O646" s="168"/>
    </row>
    <row r="647">
      <c r="B647" s="90"/>
      <c r="C647" s="90"/>
      <c r="E647" s="166"/>
      <c r="J647" s="163"/>
      <c r="L647" s="163"/>
      <c r="N647" s="167"/>
      <c r="O647" s="168"/>
    </row>
    <row r="648">
      <c r="B648" s="90"/>
      <c r="C648" s="90"/>
      <c r="E648" s="166"/>
      <c r="J648" s="163"/>
      <c r="L648" s="163"/>
      <c r="N648" s="167"/>
      <c r="O648" s="168"/>
    </row>
    <row r="649">
      <c r="B649" s="90"/>
      <c r="C649" s="90"/>
      <c r="E649" s="166"/>
      <c r="J649" s="163"/>
      <c r="L649" s="163"/>
      <c r="N649" s="167"/>
      <c r="O649" s="168"/>
    </row>
    <row r="650">
      <c r="B650" s="90"/>
      <c r="C650" s="90"/>
      <c r="E650" s="166"/>
      <c r="J650" s="163"/>
      <c r="L650" s="163"/>
      <c r="N650" s="167"/>
      <c r="O650" s="168"/>
    </row>
    <row r="651">
      <c r="B651" s="90"/>
      <c r="C651" s="90"/>
      <c r="E651" s="166"/>
      <c r="J651" s="163"/>
      <c r="L651" s="163"/>
      <c r="N651" s="167"/>
      <c r="O651" s="168"/>
    </row>
    <row r="652">
      <c r="B652" s="90"/>
      <c r="C652" s="90"/>
      <c r="E652" s="166"/>
      <c r="J652" s="163"/>
      <c r="L652" s="163"/>
      <c r="N652" s="167"/>
      <c r="O652" s="168"/>
    </row>
    <row r="653">
      <c r="B653" s="90"/>
      <c r="C653" s="90"/>
      <c r="E653" s="166"/>
      <c r="J653" s="163"/>
      <c r="L653" s="163"/>
      <c r="N653" s="167"/>
      <c r="O653" s="168"/>
    </row>
    <row r="654">
      <c r="B654" s="90"/>
      <c r="C654" s="90"/>
      <c r="E654" s="166"/>
      <c r="J654" s="163"/>
      <c r="L654" s="163"/>
      <c r="N654" s="167"/>
      <c r="O654" s="168"/>
    </row>
    <row r="655">
      <c r="B655" s="90"/>
      <c r="C655" s="90"/>
      <c r="E655" s="166"/>
      <c r="J655" s="163"/>
      <c r="L655" s="163"/>
      <c r="N655" s="167"/>
      <c r="O655" s="168"/>
    </row>
    <row r="656">
      <c r="B656" s="90"/>
      <c r="C656" s="90"/>
      <c r="E656" s="166"/>
      <c r="J656" s="163"/>
      <c r="L656" s="163"/>
      <c r="N656" s="167"/>
      <c r="O656" s="168"/>
    </row>
    <row r="657">
      <c r="B657" s="90"/>
      <c r="C657" s="90"/>
      <c r="E657" s="166"/>
      <c r="J657" s="163"/>
      <c r="L657" s="163"/>
      <c r="N657" s="167"/>
      <c r="O657" s="168"/>
    </row>
    <row r="658">
      <c r="B658" s="90"/>
      <c r="C658" s="90"/>
      <c r="E658" s="166"/>
      <c r="J658" s="163"/>
      <c r="L658" s="163"/>
      <c r="N658" s="167"/>
      <c r="O658" s="168"/>
    </row>
    <row r="659">
      <c r="B659" s="90"/>
      <c r="C659" s="90"/>
      <c r="E659" s="166"/>
      <c r="J659" s="163"/>
      <c r="L659" s="163"/>
      <c r="N659" s="167"/>
      <c r="O659" s="168"/>
    </row>
    <row r="660">
      <c r="B660" s="90"/>
      <c r="C660" s="90"/>
      <c r="E660" s="166"/>
      <c r="J660" s="163"/>
      <c r="L660" s="163"/>
      <c r="N660" s="167"/>
      <c r="O660" s="168"/>
    </row>
    <row r="661">
      <c r="B661" s="90"/>
      <c r="C661" s="90"/>
      <c r="E661" s="166"/>
      <c r="J661" s="163"/>
      <c r="L661" s="163"/>
      <c r="N661" s="167"/>
      <c r="O661" s="168"/>
    </row>
    <row r="662">
      <c r="B662" s="90"/>
      <c r="C662" s="90"/>
      <c r="E662" s="166"/>
      <c r="J662" s="163"/>
      <c r="L662" s="163"/>
      <c r="N662" s="167"/>
      <c r="O662" s="168"/>
    </row>
    <row r="663">
      <c r="B663" s="90"/>
      <c r="C663" s="90"/>
      <c r="E663" s="166"/>
      <c r="J663" s="163"/>
      <c r="L663" s="163"/>
      <c r="N663" s="167"/>
      <c r="O663" s="168"/>
    </row>
    <row r="664">
      <c r="B664" s="90"/>
      <c r="C664" s="90"/>
      <c r="E664" s="166"/>
      <c r="J664" s="163"/>
      <c r="L664" s="163"/>
      <c r="N664" s="167"/>
      <c r="O664" s="168"/>
    </row>
    <row r="665">
      <c r="B665" s="90"/>
      <c r="C665" s="90"/>
      <c r="E665" s="166"/>
      <c r="J665" s="163"/>
      <c r="L665" s="163"/>
      <c r="N665" s="167"/>
      <c r="O665" s="168"/>
    </row>
    <row r="666">
      <c r="B666" s="90"/>
      <c r="C666" s="90"/>
      <c r="E666" s="166"/>
      <c r="J666" s="163"/>
      <c r="L666" s="163"/>
      <c r="N666" s="167"/>
      <c r="O666" s="168"/>
    </row>
    <row r="667">
      <c r="B667" s="90"/>
      <c r="C667" s="90"/>
      <c r="E667" s="166"/>
      <c r="J667" s="163"/>
      <c r="L667" s="163"/>
      <c r="N667" s="167"/>
      <c r="O667" s="168"/>
    </row>
    <row r="668">
      <c r="B668" s="90"/>
      <c r="C668" s="90"/>
      <c r="E668" s="166"/>
      <c r="J668" s="163"/>
      <c r="L668" s="163"/>
      <c r="N668" s="167"/>
      <c r="O668" s="168"/>
    </row>
    <row r="669">
      <c r="B669" s="90"/>
      <c r="C669" s="90"/>
      <c r="E669" s="166"/>
      <c r="J669" s="163"/>
      <c r="L669" s="163"/>
      <c r="N669" s="167"/>
      <c r="O669" s="168"/>
    </row>
    <row r="670">
      <c r="B670" s="90"/>
      <c r="C670" s="90"/>
      <c r="E670" s="166"/>
      <c r="J670" s="163"/>
      <c r="L670" s="163"/>
      <c r="N670" s="167"/>
      <c r="O670" s="168"/>
    </row>
    <row r="671">
      <c r="B671" s="90"/>
      <c r="C671" s="90"/>
      <c r="E671" s="166"/>
      <c r="J671" s="163"/>
      <c r="L671" s="163"/>
      <c r="N671" s="167"/>
      <c r="O671" s="168"/>
    </row>
    <row r="672">
      <c r="B672" s="90"/>
      <c r="C672" s="90"/>
      <c r="E672" s="166"/>
      <c r="J672" s="163"/>
      <c r="L672" s="163"/>
      <c r="N672" s="167"/>
      <c r="O672" s="168"/>
    </row>
    <row r="673">
      <c r="B673" s="90"/>
      <c r="C673" s="90"/>
      <c r="E673" s="166"/>
      <c r="J673" s="163"/>
      <c r="L673" s="163"/>
      <c r="N673" s="167"/>
      <c r="O673" s="168"/>
    </row>
    <row r="674">
      <c r="B674" s="90"/>
      <c r="C674" s="90"/>
      <c r="E674" s="166"/>
      <c r="J674" s="163"/>
      <c r="L674" s="163"/>
      <c r="N674" s="167"/>
      <c r="O674" s="168"/>
    </row>
    <row r="675">
      <c r="B675" s="90"/>
      <c r="C675" s="90"/>
      <c r="E675" s="166"/>
      <c r="J675" s="163"/>
      <c r="L675" s="163"/>
      <c r="N675" s="167"/>
      <c r="O675" s="168"/>
    </row>
    <row r="676">
      <c r="B676" s="90"/>
      <c r="C676" s="90"/>
      <c r="E676" s="166"/>
      <c r="J676" s="163"/>
      <c r="L676" s="163"/>
      <c r="N676" s="167"/>
      <c r="O676" s="168"/>
    </row>
    <row r="677">
      <c r="B677" s="90"/>
      <c r="C677" s="90"/>
      <c r="E677" s="166"/>
      <c r="J677" s="163"/>
      <c r="L677" s="163"/>
      <c r="N677" s="167"/>
      <c r="O677" s="168"/>
    </row>
    <row r="678">
      <c r="B678" s="90"/>
      <c r="C678" s="90"/>
      <c r="E678" s="166"/>
      <c r="J678" s="163"/>
      <c r="L678" s="163"/>
      <c r="N678" s="167"/>
      <c r="O678" s="168"/>
    </row>
    <row r="679">
      <c r="B679" s="90"/>
      <c r="C679" s="90"/>
      <c r="E679" s="166"/>
      <c r="J679" s="163"/>
      <c r="L679" s="163"/>
      <c r="N679" s="167"/>
      <c r="O679" s="168"/>
    </row>
    <row r="680">
      <c r="B680" s="90"/>
      <c r="C680" s="90"/>
      <c r="E680" s="166"/>
      <c r="J680" s="163"/>
      <c r="L680" s="163"/>
      <c r="N680" s="167"/>
      <c r="O680" s="168"/>
    </row>
    <row r="681">
      <c r="B681" s="90"/>
      <c r="C681" s="90"/>
      <c r="E681" s="166"/>
      <c r="J681" s="163"/>
      <c r="L681" s="163"/>
      <c r="N681" s="167"/>
      <c r="O681" s="168"/>
    </row>
    <row r="682">
      <c r="B682" s="90"/>
      <c r="C682" s="90"/>
      <c r="E682" s="166"/>
      <c r="J682" s="163"/>
      <c r="L682" s="163"/>
      <c r="N682" s="167"/>
      <c r="O682" s="168"/>
    </row>
    <row r="683">
      <c r="B683" s="90"/>
      <c r="C683" s="90"/>
      <c r="E683" s="166"/>
      <c r="J683" s="163"/>
      <c r="L683" s="163"/>
      <c r="N683" s="167"/>
      <c r="O683" s="168"/>
    </row>
    <row r="684">
      <c r="B684" s="90"/>
      <c r="C684" s="90"/>
      <c r="E684" s="166"/>
      <c r="J684" s="163"/>
      <c r="L684" s="163"/>
      <c r="N684" s="167"/>
      <c r="O684" s="168"/>
    </row>
    <row r="685">
      <c r="B685" s="90"/>
      <c r="C685" s="90"/>
      <c r="E685" s="166"/>
      <c r="J685" s="163"/>
      <c r="L685" s="163"/>
      <c r="N685" s="167"/>
      <c r="O685" s="168"/>
    </row>
    <row r="686">
      <c r="B686" s="90"/>
      <c r="C686" s="90"/>
      <c r="E686" s="166"/>
      <c r="J686" s="163"/>
      <c r="L686" s="163"/>
      <c r="N686" s="167"/>
      <c r="O686" s="168"/>
    </row>
    <row r="687">
      <c r="B687" s="90"/>
      <c r="C687" s="90"/>
      <c r="E687" s="166"/>
      <c r="J687" s="163"/>
      <c r="L687" s="163"/>
      <c r="N687" s="167"/>
      <c r="O687" s="168"/>
    </row>
    <row r="688">
      <c r="B688" s="90"/>
      <c r="C688" s="90"/>
      <c r="E688" s="166"/>
      <c r="J688" s="163"/>
      <c r="L688" s="163"/>
      <c r="N688" s="167"/>
      <c r="O688" s="168"/>
    </row>
    <row r="689">
      <c r="B689" s="90"/>
      <c r="C689" s="90"/>
      <c r="E689" s="166"/>
      <c r="J689" s="163"/>
      <c r="L689" s="163"/>
      <c r="N689" s="167"/>
      <c r="O689" s="168"/>
    </row>
    <row r="690">
      <c r="B690" s="90"/>
      <c r="C690" s="90"/>
      <c r="E690" s="166"/>
      <c r="J690" s="163"/>
      <c r="L690" s="163"/>
      <c r="N690" s="167"/>
      <c r="O690" s="168"/>
    </row>
    <row r="691">
      <c r="B691" s="90"/>
      <c r="C691" s="90"/>
      <c r="E691" s="166"/>
      <c r="J691" s="163"/>
      <c r="L691" s="163"/>
      <c r="N691" s="167"/>
      <c r="O691" s="168"/>
    </row>
    <row r="692">
      <c r="B692" s="90"/>
      <c r="C692" s="90"/>
      <c r="E692" s="166"/>
      <c r="J692" s="163"/>
      <c r="L692" s="163"/>
      <c r="N692" s="167"/>
      <c r="O692" s="168"/>
    </row>
    <row r="693">
      <c r="B693" s="90"/>
      <c r="C693" s="90"/>
      <c r="E693" s="166"/>
      <c r="J693" s="163"/>
      <c r="L693" s="163"/>
      <c r="N693" s="167"/>
      <c r="O693" s="168"/>
    </row>
    <row r="694">
      <c r="B694" s="90"/>
      <c r="C694" s="90"/>
      <c r="E694" s="166"/>
      <c r="J694" s="163"/>
      <c r="L694" s="163"/>
      <c r="N694" s="167"/>
      <c r="O694" s="168"/>
    </row>
    <row r="695">
      <c r="B695" s="90"/>
      <c r="C695" s="90"/>
      <c r="E695" s="166"/>
      <c r="J695" s="163"/>
      <c r="L695" s="163"/>
      <c r="N695" s="167"/>
      <c r="O695" s="168"/>
    </row>
    <row r="696">
      <c r="B696" s="90"/>
      <c r="C696" s="90"/>
      <c r="E696" s="166"/>
      <c r="J696" s="163"/>
      <c r="L696" s="163"/>
      <c r="N696" s="167"/>
      <c r="O696" s="168"/>
    </row>
    <row r="697">
      <c r="B697" s="90"/>
      <c r="C697" s="90"/>
      <c r="E697" s="166"/>
      <c r="J697" s="163"/>
      <c r="L697" s="163"/>
      <c r="N697" s="167"/>
      <c r="O697" s="168"/>
    </row>
    <row r="698">
      <c r="B698" s="90"/>
      <c r="C698" s="90"/>
      <c r="E698" s="166"/>
      <c r="J698" s="163"/>
      <c r="L698" s="163"/>
      <c r="N698" s="167"/>
      <c r="O698" s="168"/>
    </row>
    <row r="699">
      <c r="B699" s="90"/>
      <c r="C699" s="90"/>
      <c r="E699" s="166"/>
      <c r="J699" s="163"/>
      <c r="L699" s="163"/>
      <c r="N699" s="167"/>
      <c r="O699" s="168"/>
    </row>
    <row r="700">
      <c r="B700" s="90"/>
      <c r="C700" s="90"/>
      <c r="E700" s="166"/>
      <c r="J700" s="163"/>
      <c r="L700" s="163"/>
      <c r="N700" s="167"/>
      <c r="O700" s="168"/>
    </row>
    <row r="701">
      <c r="B701" s="90"/>
      <c r="C701" s="90"/>
      <c r="E701" s="166"/>
      <c r="J701" s="163"/>
      <c r="L701" s="163"/>
      <c r="N701" s="167"/>
      <c r="O701" s="168"/>
    </row>
    <row r="702">
      <c r="B702" s="90"/>
      <c r="C702" s="90"/>
      <c r="E702" s="166"/>
      <c r="J702" s="163"/>
      <c r="L702" s="163"/>
      <c r="N702" s="167"/>
      <c r="O702" s="168"/>
    </row>
    <row r="703">
      <c r="B703" s="90"/>
      <c r="C703" s="90"/>
      <c r="E703" s="166"/>
      <c r="J703" s="163"/>
      <c r="L703" s="163"/>
      <c r="N703" s="167"/>
      <c r="O703" s="168"/>
    </row>
    <row r="704">
      <c r="B704" s="90"/>
      <c r="C704" s="90"/>
      <c r="E704" s="166"/>
      <c r="J704" s="163"/>
      <c r="L704" s="163"/>
      <c r="N704" s="167"/>
      <c r="O704" s="168"/>
    </row>
    <row r="705">
      <c r="B705" s="90"/>
      <c r="C705" s="90"/>
      <c r="E705" s="166"/>
      <c r="J705" s="163"/>
      <c r="L705" s="163"/>
      <c r="N705" s="167"/>
      <c r="O705" s="168"/>
    </row>
    <row r="706">
      <c r="B706" s="90"/>
      <c r="C706" s="90"/>
      <c r="E706" s="166"/>
      <c r="J706" s="163"/>
      <c r="L706" s="163"/>
      <c r="N706" s="167"/>
      <c r="O706" s="168"/>
    </row>
    <row r="707">
      <c r="B707" s="90"/>
      <c r="C707" s="90"/>
      <c r="E707" s="166"/>
      <c r="J707" s="163"/>
      <c r="L707" s="163"/>
      <c r="N707" s="167"/>
      <c r="O707" s="168"/>
    </row>
    <row r="708">
      <c r="B708" s="90"/>
      <c r="C708" s="90"/>
      <c r="E708" s="166"/>
      <c r="J708" s="163"/>
      <c r="L708" s="163"/>
      <c r="N708" s="167"/>
      <c r="O708" s="168"/>
    </row>
    <row r="709">
      <c r="B709" s="90"/>
      <c r="C709" s="90"/>
      <c r="E709" s="166"/>
      <c r="J709" s="163"/>
      <c r="L709" s="163"/>
      <c r="N709" s="167"/>
      <c r="O709" s="168"/>
    </row>
    <row r="710">
      <c r="B710" s="90"/>
      <c r="C710" s="90"/>
      <c r="E710" s="166"/>
      <c r="J710" s="163"/>
      <c r="L710" s="163"/>
      <c r="N710" s="167"/>
      <c r="O710" s="168"/>
    </row>
    <row r="711">
      <c r="B711" s="90"/>
      <c r="C711" s="90"/>
      <c r="E711" s="166"/>
      <c r="J711" s="163"/>
      <c r="L711" s="163"/>
      <c r="N711" s="167"/>
      <c r="O711" s="168"/>
    </row>
    <row r="712">
      <c r="B712" s="90"/>
      <c r="C712" s="90"/>
      <c r="E712" s="166"/>
      <c r="J712" s="163"/>
      <c r="L712" s="163"/>
      <c r="N712" s="167"/>
      <c r="O712" s="168"/>
    </row>
    <row r="713">
      <c r="B713" s="90"/>
      <c r="C713" s="90"/>
      <c r="E713" s="166"/>
      <c r="J713" s="163"/>
      <c r="L713" s="163"/>
      <c r="N713" s="167"/>
      <c r="O713" s="168"/>
    </row>
    <row r="714">
      <c r="B714" s="90"/>
      <c r="C714" s="90"/>
      <c r="E714" s="166"/>
      <c r="J714" s="163"/>
      <c r="L714" s="163"/>
      <c r="N714" s="167"/>
      <c r="O714" s="168"/>
    </row>
    <row r="715">
      <c r="B715" s="90"/>
      <c r="C715" s="90"/>
      <c r="E715" s="166"/>
      <c r="J715" s="163"/>
      <c r="L715" s="163"/>
      <c r="N715" s="167"/>
      <c r="O715" s="168"/>
    </row>
    <row r="716">
      <c r="B716" s="90"/>
      <c r="C716" s="90"/>
      <c r="E716" s="166"/>
      <c r="J716" s="163"/>
      <c r="L716" s="163"/>
      <c r="N716" s="167"/>
      <c r="O716" s="168"/>
    </row>
    <row r="717">
      <c r="B717" s="90"/>
      <c r="C717" s="90"/>
      <c r="E717" s="166"/>
      <c r="J717" s="163"/>
      <c r="L717" s="163"/>
      <c r="N717" s="167"/>
      <c r="O717" s="168"/>
    </row>
    <row r="718">
      <c r="B718" s="90"/>
      <c r="C718" s="90"/>
      <c r="E718" s="166"/>
      <c r="J718" s="163"/>
      <c r="L718" s="163"/>
      <c r="N718" s="167"/>
      <c r="O718" s="168"/>
    </row>
    <row r="719">
      <c r="B719" s="90"/>
      <c r="C719" s="90"/>
      <c r="E719" s="166"/>
      <c r="J719" s="163"/>
      <c r="L719" s="163"/>
      <c r="N719" s="167"/>
      <c r="O719" s="168"/>
    </row>
    <row r="720">
      <c r="B720" s="90"/>
      <c r="C720" s="90"/>
      <c r="E720" s="166"/>
      <c r="J720" s="163"/>
      <c r="L720" s="163"/>
      <c r="N720" s="167"/>
      <c r="O720" s="168"/>
    </row>
    <row r="721">
      <c r="B721" s="90"/>
      <c r="C721" s="90"/>
      <c r="E721" s="166"/>
      <c r="J721" s="163"/>
      <c r="L721" s="163"/>
      <c r="N721" s="167"/>
      <c r="O721" s="168"/>
    </row>
    <row r="722">
      <c r="B722" s="90"/>
      <c r="C722" s="90"/>
      <c r="E722" s="166"/>
      <c r="J722" s="163"/>
      <c r="L722" s="163"/>
      <c r="N722" s="167"/>
      <c r="O722" s="168"/>
    </row>
    <row r="723">
      <c r="B723" s="90"/>
      <c r="C723" s="90"/>
      <c r="E723" s="166"/>
      <c r="J723" s="163"/>
      <c r="L723" s="163"/>
      <c r="N723" s="167"/>
      <c r="O723" s="168"/>
    </row>
    <row r="724">
      <c r="B724" s="90"/>
      <c r="C724" s="90"/>
      <c r="E724" s="166"/>
      <c r="J724" s="163"/>
      <c r="L724" s="163"/>
      <c r="N724" s="167"/>
      <c r="O724" s="168"/>
    </row>
    <row r="725">
      <c r="B725" s="90"/>
      <c r="C725" s="90"/>
      <c r="E725" s="166"/>
      <c r="J725" s="163"/>
      <c r="L725" s="163"/>
      <c r="N725" s="167"/>
      <c r="O725" s="168"/>
    </row>
    <row r="726">
      <c r="B726" s="90"/>
      <c r="C726" s="90"/>
      <c r="E726" s="166"/>
      <c r="J726" s="163"/>
      <c r="L726" s="163"/>
      <c r="N726" s="167"/>
      <c r="O726" s="168"/>
    </row>
    <row r="727">
      <c r="B727" s="90"/>
      <c r="C727" s="90"/>
      <c r="E727" s="166"/>
      <c r="J727" s="163"/>
      <c r="L727" s="163"/>
      <c r="N727" s="167"/>
      <c r="O727" s="168"/>
    </row>
    <row r="728">
      <c r="B728" s="90"/>
      <c r="C728" s="90"/>
      <c r="E728" s="166"/>
      <c r="J728" s="163"/>
      <c r="L728" s="163"/>
      <c r="N728" s="167"/>
      <c r="O728" s="168"/>
    </row>
    <row r="729">
      <c r="B729" s="90"/>
      <c r="C729" s="90"/>
      <c r="E729" s="166"/>
      <c r="J729" s="163"/>
      <c r="L729" s="163"/>
      <c r="N729" s="167"/>
      <c r="O729" s="168"/>
    </row>
    <row r="730">
      <c r="B730" s="90"/>
      <c r="C730" s="90"/>
      <c r="E730" s="166"/>
      <c r="J730" s="163"/>
      <c r="L730" s="163"/>
      <c r="N730" s="167"/>
      <c r="O730" s="168"/>
    </row>
    <row r="731">
      <c r="B731" s="90"/>
      <c r="C731" s="90"/>
      <c r="E731" s="166"/>
      <c r="J731" s="163"/>
      <c r="L731" s="163"/>
      <c r="N731" s="167"/>
      <c r="O731" s="168"/>
    </row>
    <row r="732">
      <c r="B732" s="90"/>
      <c r="C732" s="90"/>
      <c r="E732" s="166"/>
      <c r="J732" s="163"/>
      <c r="L732" s="163"/>
      <c r="N732" s="167"/>
      <c r="O732" s="168"/>
    </row>
    <row r="733">
      <c r="B733" s="90"/>
      <c r="C733" s="90"/>
      <c r="E733" s="166"/>
      <c r="J733" s="163"/>
      <c r="L733" s="163"/>
      <c r="N733" s="167"/>
      <c r="O733" s="168"/>
    </row>
    <row r="734">
      <c r="B734" s="90"/>
      <c r="C734" s="90"/>
      <c r="E734" s="166"/>
      <c r="J734" s="163"/>
      <c r="L734" s="163"/>
      <c r="N734" s="167"/>
      <c r="O734" s="168"/>
    </row>
    <row r="735">
      <c r="B735" s="90"/>
      <c r="C735" s="90"/>
      <c r="E735" s="166"/>
      <c r="J735" s="163"/>
      <c r="L735" s="163"/>
      <c r="N735" s="167"/>
      <c r="O735" s="168"/>
    </row>
    <row r="736">
      <c r="B736" s="90"/>
      <c r="C736" s="90"/>
      <c r="E736" s="166"/>
      <c r="J736" s="163"/>
      <c r="L736" s="163"/>
      <c r="N736" s="167"/>
      <c r="O736" s="168"/>
    </row>
    <row r="737">
      <c r="B737" s="90"/>
      <c r="C737" s="90"/>
      <c r="E737" s="166"/>
      <c r="J737" s="163"/>
      <c r="L737" s="163"/>
      <c r="N737" s="167"/>
      <c r="O737" s="168"/>
    </row>
    <row r="738">
      <c r="B738" s="90"/>
      <c r="C738" s="90"/>
      <c r="E738" s="166"/>
      <c r="J738" s="163"/>
      <c r="L738" s="163"/>
      <c r="N738" s="167"/>
      <c r="O738" s="168"/>
    </row>
    <row r="739">
      <c r="B739" s="90"/>
      <c r="C739" s="90"/>
      <c r="E739" s="166"/>
      <c r="J739" s="163"/>
      <c r="L739" s="163"/>
      <c r="N739" s="167"/>
      <c r="O739" s="168"/>
    </row>
    <row r="740">
      <c r="B740" s="90"/>
      <c r="C740" s="90"/>
      <c r="E740" s="166"/>
      <c r="J740" s="163"/>
      <c r="L740" s="163"/>
      <c r="N740" s="167"/>
      <c r="O740" s="168"/>
    </row>
    <row r="741">
      <c r="B741" s="90"/>
      <c r="C741" s="90"/>
      <c r="E741" s="166"/>
      <c r="J741" s="163"/>
      <c r="L741" s="163"/>
      <c r="N741" s="167"/>
      <c r="O741" s="168"/>
    </row>
    <row r="742">
      <c r="B742" s="90"/>
      <c r="C742" s="90"/>
      <c r="E742" s="166"/>
      <c r="J742" s="163"/>
      <c r="L742" s="163"/>
      <c r="N742" s="167"/>
      <c r="O742" s="168"/>
    </row>
    <row r="743">
      <c r="B743" s="90"/>
      <c r="C743" s="90"/>
      <c r="E743" s="166"/>
      <c r="J743" s="163"/>
      <c r="L743" s="163"/>
      <c r="N743" s="167"/>
      <c r="O743" s="168"/>
    </row>
    <row r="744">
      <c r="B744" s="90"/>
      <c r="C744" s="90"/>
      <c r="E744" s="166"/>
      <c r="J744" s="163"/>
      <c r="L744" s="163"/>
      <c r="N744" s="167"/>
      <c r="O744" s="168"/>
    </row>
    <row r="745">
      <c r="B745" s="90"/>
      <c r="C745" s="90"/>
      <c r="E745" s="166"/>
      <c r="J745" s="163"/>
      <c r="L745" s="163"/>
      <c r="N745" s="167"/>
      <c r="O745" s="168"/>
    </row>
    <row r="746">
      <c r="B746" s="90"/>
      <c r="C746" s="90"/>
      <c r="E746" s="166"/>
      <c r="J746" s="163"/>
      <c r="L746" s="163"/>
      <c r="N746" s="167"/>
      <c r="O746" s="168"/>
    </row>
    <row r="747">
      <c r="B747" s="90"/>
      <c r="C747" s="90"/>
      <c r="E747" s="166"/>
      <c r="J747" s="163"/>
      <c r="L747" s="163"/>
      <c r="N747" s="167"/>
      <c r="O747" s="168"/>
    </row>
    <row r="748">
      <c r="B748" s="90"/>
      <c r="C748" s="90"/>
      <c r="E748" s="166"/>
      <c r="J748" s="163"/>
      <c r="L748" s="163"/>
      <c r="N748" s="167"/>
      <c r="O748" s="168"/>
    </row>
    <row r="749">
      <c r="B749" s="90"/>
      <c r="C749" s="90"/>
      <c r="E749" s="166"/>
      <c r="J749" s="163"/>
      <c r="L749" s="163"/>
      <c r="N749" s="167"/>
      <c r="O749" s="168"/>
    </row>
    <row r="750">
      <c r="B750" s="90"/>
      <c r="C750" s="90"/>
      <c r="E750" s="166"/>
      <c r="J750" s="163"/>
      <c r="L750" s="163"/>
      <c r="N750" s="167"/>
      <c r="O750" s="168"/>
    </row>
    <row r="751">
      <c r="B751" s="90"/>
      <c r="C751" s="90"/>
      <c r="E751" s="166"/>
      <c r="J751" s="163"/>
      <c r="L751" s="163"/>
      <c r="N751" s="167"/>
      <c r="O751" s="168"/>
    </row>
    <row r="752">
      <c r="B752" s="90"/>
      <c r="C752" s="90"/>
      <c r="E752" s="166"/>
      <c r="J752" s="163"/>
      <c r="L752" s="163"/>
      <c r="N752" s="167"/>
      <c r="O752" s="168"/>
    </row>
    <row r="753">
      <c r="B753" s="90"/>
      <c r="C753" s="90"/>
      <c r="E753" s="166"/>
      <c r="J753" s="163"/>
      <c r="L753" s="163"/>
      <c r="N753" s="167"/>
      <c r="O753" s="168"/>
    </row>
    <row r="754">
      <c r="B754" s="90"/>
      <c r="C754" s="90"/>
      <c r="E754" s="166"/>
      <c r="J754" s="163"/>
      <c r="L754" s="163"/>
      <c r="N754" s="167"/>
      <c r="O754" s="168"/>
    </row>
    <row r="755">
      <c r="B755" s="90"/>
      <c r="C755" s="90"/>
      <c r="E755" s="166"/>
      <c r="J755" s="163"/>
      <c r="L755" s="163"/>
      <c r="N755" s="167"/>
      <c r="O755" s="168"/>
    </row>
    <row r="756">
      <c r="B756" s="90"/>
      <c r="C756" s="90"/>
      <c r="E756" s="166"/>
      <c r="J756" s="163"/>
      <c r="L756" s="163"/>
      <c r="N756" s="167"/>
      <c r="O756" s="168"/>
    </row>
    <row r="757">
      <c r="B757" s="90"/>
      <c r="C757" s="90"/>
      <c r="E757" s="166"/>
      <c r="J757" s="163"/>
      <c r="L757" s="163"/>
      <c r="N757" s="167"/>
      <c r="O757" s="168"/>
    </row>
    <row r="758">
      <c r="B758" s="90"/>
      <c r="C758" s="90"/>
      <c r="E758" s="166"/>
      <c r="J758" s="163"/>
      <c r="L758" s="163"/>
      <c r="N758" s="167"/>
      <c r="O758" s="168"/>
    </row>
    <row r="759">
      <c r="B759" s="90"/>
      <c r="C759" s="90"/>
      <c r="E759" s="166"/>
      <c r="J759" s="163"/>
      <c r="L759" s="163"/>
      <c r="N759" s="167"/>
      <c r="O759" s="168"/>
    </row>
    <row r="760">
      <c r="B760" s="90"/>
      <c r="C760" s="90"/>
      <c r="E760" s="166"/>
      <c r="J760" s="163"/>
      <c r="L760" s="163"/>
      <c r="N760" s="167"/>
      <c r="O760" s="168"/>
    </row>
    <row r="761">
      <c r="B761" s="90"/>
      <c r="C761" s="90"/>
      <c r="E761" s="166"/>
      <c r="J761" s="163"/>
      <c r="L761" s="163"/>
      <c r="N761" s="167"/>
      <c r="O761" s="168"/>
    </row>
    <row r="762">
      <c r="B762" s="90"/>
      <c r="C762" s="90"/>
      <c r="E762" s="166"/>
      <c r="J762" s="163"/>
      <c r="L762" s="163"/>
      <c r="N762" s="167"/>
      <c r="O762" s="168"/>
    </row>
    <row r="763">
      <c r="B763" s="90"/>
      <c r="C763" s="90"/>
      <c r="E763" s="166"/>
      <c r="J763" s="163"/>
      <c r="L763" s="163"/>
      <c r="N763" s="167"/>
      <c r="O763" s="168"/>
    </row>
    <row r="764">
      <c r="B764" s="90"/>
      <c r="C764" s="90"/>
      <c r="E764" s="166"/>
      <c r="J764" s="163"/>
      <c r="L764" s="163"/>
      <c r="N764" s="167"/>
      <c r="O764" s="168"/>
    </row>
    <row r="765">
      <c r="B765" s="90"/>
      <c r="C765" s="90"/>
      <c r="E765" s="166"/>
      <c r="J765" s="163"/>
      <c r="L765" s="163"/>
      <c r="N765" s="167"/>
      <c r="O765" s="168"/>
    </row>
    <row r="766">
      <c r="B766" s="90"/>
      <c r="C766" s="90"/>
      <c r="E766" s="166"/>
      <c r="J766" s="163"/>
      <c r="L766" s="163"/>
      <c r="N766" s="167"/>
      <c r="O766" s="168"/>
    </row>
    <row r="767">
      <c r="B767" s="90"/>
      <c r="C767" s="90"/>
      <c r="E767" s="166"/>
      <c r="J767" s="163"/>
      <c r="L767" s="163"/>
      <c r="N767" s="167"/>
      <c r="O767" s="168"/>
    </row>
    <row r="768">
      <c r="B768" s="90"/>
      <c r="C768" s="90"/>
      <c r="E768" s="166"/>
      <c r="J768" s="163"/>
      <c r="L768" s="163"/>
      <c r="N768" s="167"/>
      <c r="O768" s="168"/>
    </row>
    <row r="769">
      <c r="B769" s="90"/>
      <c r="C769" s="90"/>
      <c r="E769" s="166"/>
      <c r="J769" s="163"/>
      <c r="L769" s="163"/>
      <c r="N769" s="167"/>
      <c r="O769" s="168"/>
    </row>
    <row r="770">
      <c r="B770" s="90"/>
      <c r="C770" s="90"/>
      <c r="E770" s="166"/>
      <c r="J770" s="163"/>
      <c r="L770" s="163"/>
      <c r="N770" s="167"/>
      <c r="O770" s="168"/>
    </row>
    <row r="771">
      <c r="B771" s="90"/>
      <c r="C771" s="90"/>
      <c r="E771" s="166"/>
      <c r="J771" s="163"/>
      <c r="L771" s="163"/>
      <c r="N771" s="167"/>
      <c r="O771" s="168"/>
    </row>
    <row r="772">
      <c r="B772" s="90"/>
      <c r="C772" s="90"/>
      <c r="E772" s="166"/>
      <c r="J772" s="163"/>
      <c r="L772" s="163"/>
      <c r="N772" s="167"/>
      <c r="O772" s="168"/>
    </row>
    <row r="773">
      <c r="B773" s="90"/>
      <c r="C773" s="90"/>
      <c r="E773" s="166"/>
      <c r="J773" s="163"/>
      <c r="L773" s="163"/>
      <c r="N773" s="167"/>
      <c r="O773" s="168"/>
    </row>
    <row r="774">
      <c r="B774" s="90"/>
      <c r="C774" s="90"/>
      <c r="E774" s="166"/>
      <c r="J774" s="163"/>
      <c r="L774" s="163"/>
      <c r="N774" s="167"/>
      <c r="O774" s="168"/>
    </row>
    <row r="775">
      <c r="B775" s="90"/>
      <c r="C775" s="90"/>
      <c r="E775" s="166"/>
      <c r="J775" s="163"/>
      <c r="L775" s="163"/>
      <c r="N775" s="167"/>
      <c r="O775" s="168"/>
    </row>
    <row r="776">
      <c r="B776" s="90"/>
      <c r="C776" s="90"/>
      <c r="E776" s="166"/>
      <c r="J776" s="163"/>
      <c r="L776" s="163"/>
      <c r="N776" s="167"/>
      <c r="O776" s="168"/>
    </row>
    <row r="777">
      <c r="B777" s="90"/>
      <c r="C777" s="90"/>
      <c r="E777" s="166"/>
      <c r="J777" s="163"/>
      <c r="L777" s="163"/>
      <c r="N777" s="167"/>
      <c r="O777" s="168"/>
    </row>
    <row r="778">
      <c r="B778" s="90"/>
      <c r="C778" s="90"/>
      <c r="E778" s="166"/>
      <c r="J778" s="163"/>
      <c r="L778" s="163"/>
      <c r="N778" s="167"/>
      <c r="O778" s="168"/>
    </row>
    <row r="779">
      <c r="B779" s="90"/>
      <c r="C779" s="90"/>
      <c r="E779" s="166"/>
      <c r="J779" s="163"/>
      <c r="L779" s="163"/>
      <c r="N779" s="167"/>
      <c r="O779" s="168"/>
    </row>
    <row r="780">
      <c r="B780" s="90"/>
      <c r="C780" s="90"/>
      <c r="E780" s="166"/>
      <c r="J780" s="163"/>
      <c r="L780" s="163"/>
      <c r="N780" s="167"/>
      <c r="O780" s="168"/>
    </row>
    <row r="781">
      <c r="B781" s="90"/>
      <c r="C781" s="90"/>
      <c r="E781" s="166"/>
      <c r="J781" s="163"/>
      <c r="L781" s="163"/>
      <c r="N781" s="167"/>
      <c r="O781" s="168"/>
    </row>
    <row r="782">
      <c r="B782" s="90"/>
      <c r="C782" s="90"/>
      <c r="E782" s="166"/>
      <c r="J782" s="163"/>
      <c r="L782" s="163"/>
      <c r="N782" s="167"/>
      <c r="O782" s="168"/>
    </row>
    <row r="783">
      <c r="B783" s="90"/>
      <c r="C783" s="90"/>
      <c r="E783" s="166"/>
      <c r="J783" s="163"/>
      <c r="L783" s="163"/>
      <c r="N783" s="167"/>
      <c r="O783" s="168"/>
    </row>
    <row r="784">
      <c r="B784" s="90"/>
      <c r="C784" s="90"/>
      <c r="E784" s="166"/>
      <c r="J784" s="163"/>
      <c r="L784" s="163"/>
      <c r="N784" s="167"/>
      <c r="O784" s="168"/>
    </row>
    <row r="785">
      <c r="B785" s="90"/>
      <c r="C785" s="90"/>
      <c r="E785" s="166"/>
      <c r="J785" s="163"/>
      <c r="L785" s="163"/>
      <c r="N785" s="167"/>
      <c r="O785" s="168"/>
    </row>
    <row r="786">
      <c r="B786" s="90"/>
      <c r="C786" s="90"/>
      <c r="E786" s="166"/>
      <c r="J786" s="163"/>
      <c r="L786" s="163"/>
      <c r="N786" s="167"/>
      <c r="O786" s="168"/>
    </row>
    <row r="787">
      <c r="B787" s="90"/>
      <c r="C787" s="90"/>
      <c r="E787" s="166"/>
      <c r="J787" s="163"/>
      <c r="L787" s="163"/>
      <c r="N787" s="167"/>
      <c r="O787" s="168"/>
    </row>
    <row r="788">
      <c r="B788" s="90"/>
      <c r="C788" s="90"/>
      <c r="E788" s="166"/>
      <c r="J788" s="163"/>
      <c r="L788" s="163"/>
      <c r="N788" s="167"/>
      <c r="O788" s="168"/>
    </row>
    <row r="789">
      <c r="B789" s="90"/>
      <c r="C789" s="90"/>
      <c r="E789" s="166"/>
      <c r="J789" s="163"/>
      <c r="L789" s="163"/>
      <c r="N789" s="167"/>
      <c r="O789" s="168"/>
    </row>
    <row r="790">
      <c r="B790" s="90"/>
      <c r="C790" s="90"/>
      <c r="E790" s="166"/>
      <c r="J790" s="163"/>
      <c r="L790" s="163"/>
      <c r="N790" s="167"/>
      <c r="O790" s="168"/>
    </row>
    <row r="791">
      <c r="B791" s="90"/>
      <c r="C791" s="90"/>
      <c r="E791" s="166"/>
      <c r="J791" s="163"/>
      <c r="L791" s="163"/>
      <c r="N791" s="167"/>
      <c r="O791" s="168"/>
    </row>
    <row r="792">
      <c r="B792" s="90"/>
      <c r="C792" s="90"/>
      <c r="E792" s="166"/>
      <c r="J792" s="163"/>
      <c r="L792" s="163"/>
      <c r="N792" s="167"/>
      <c r="O792" s="168"/>
    </row>
    <row r="793">
      <c r="B793" s="90"/>
      <c r="C793" s="90"/>
      <c r="E793" s="166"/>
      <c r="J793" s="163"/>
      <c r="L793" s="163"/>
      <c r="N793" s="167"/>
      <c r="O793" s="168"/>
    </row>
    <row r="794">
      <c r="B794" s="90"/>
      <c r="C794" s="90"/>
      <c r="E794" s="166"/>
      <c r="J794" s="163"/>
      <c r="L794" s="163"/>
      <c r="N794" s="167"/>
      <c r="O794" s="168"/>
    </row>
    <row r="795">
      <c r="B795" s="90"/>
      <c r="C795" s="90"/>
      <c r="E795" s="166"/>
      <c r="J795" s="163"/>
      <c r="L795" s="163"/>
      <c r="N795" s="167"/>
      <c r="O795" s="168"/>
    </row>
    <row r="796">
      <c r="B796" s="90"/>
      <c r="C796" s="90"/>
      <c r="E796" s="166"/>
      <c r="J796" s="163"/>
      <c r="L796" s="163"/>
      <c r="N796" s="167"/>
      <c r="O796" s="168"/>
    </row>
    <row r="797">
      <c r="B797" s="90"/>
      <c r="C797" s="90"/>
      <c r="E797" s="166"/>
      <c r="J797" s="163"/>
      <c r="L797" s="163"/>
      <c r="N797" s="167"/>
      <c r="O797" s="168"/>
    </row>
    <row r="798">
      <c r="B798" s="90"/>
      <c r="C798" s="90"/>
      <c r="E798" s="166"/>
      <c r="J798" s="163"/>
      <c r="L798" s="163"/>
      <c r="N798" s="167"/>
      <c r="O798" s="168"/>
    </row>
    <row r="799">
      <c r="B799" s="90"/>
      <c r="C799" s="90"/>
      <c r="E799" s="166"/>
      <c r="J799" s="163"/>
      <c r="L799" s="163"/>
      <c r="N799" s="167"/>
      <c r="O799" s="168"/>
    </row>
    <row r="800">
      <c r="B800" s="90"/>
      <c r="C800" s="90"/>
      <c r="E800" s="166"/>
      <c r="J800" s="163"/>
      <c r="L800" s="163"/>
      <c r="N800" s="167"/>
      <c r="O800" s="168"/>
    </row>
    <row r="801">
      <c r="B801" s="90"/>
      <c r="C801" s="90"/>
      <c r="E801" s="166"/>
      <c r="J801" s="163"/>
      <c r="L801" s="163"/>
      <c r="N801" s="167"/>
      <c r="O801" s="168"/>
    </row>
    <row r="802">
      <c r="B802" s="90"/>
      <c r="C802" s="90"/>
      <c r="E802" s="166"/>
      <c r="J802" s="163"/>
      <c r="L802" s="163"/>
      <c r="N802" s="167"/>
      <c r="O802" s="168"/>
    </row>
    <row r="803">
      <c r="B803" s="90"/>
      <c r="C803" s="90"/>
      <c r="E803" s="166"/>
      <c r="J803" s="163"/>
      <c r="L803" s="163"/>
      <c r="N803" s="167"/>
      <c r="O803" s="168"/>
    </row>
    <row r="804">
      <c r="B804" s="90"/>
      <c r="C804" s="90"/>
      <c r="E804" s="166"/>
      <c r="J804" s="163"/>
      <c r="L804" s="163"/>
      <c r="N804" s="167"/>
      <c r="O804" s="168"/>
    </row>
    <row r="805">
      <c r="B805" s="90"/>
      <c r="C805" s="90"/>
      <c r="E805" s="166"/>
      <c r="J805" s="163"/>
      <c r="L805" s="163"/>
      <c r="N805" s="167"/>
      <c r="O805" s="168"/>
    </row>
    <row r="806">
      <c r="B806" s="90"/>
      <c r="C806" s="90"/>
      <c r="E806" s="166"/>
      <c r="J806" s="163"/>
      <c r="L806" s="163"/>
      <c r="N806" s="167"/>
      <c r="O806" s="168"/>
    </row>
    <row r="807">
      <c r="B807" s="90"/>
      <c r="C807" s="90"/>
      <c r="E807" s="166"/>
      <c r="J807" s="163"/>
      <c r="L807" s="163"/>
      <c r="N807" s="167"/>
      <c r="O807" s="168"/>
    </row>
    <row r="808">
      <c r="B808" s="90"/>
      <c r="C808" s="90"/>
      <c r="E808" s="166"/>
      <c r="J808" s="163"/>
      <c r="L808" s="163"/>
      <c r="N808" s="167"/>
      <c r="O808" s="168"/>
    </row>
    <row r="809">
      <c r="B809" s="90"/>
      <c r="C809" s="90"/>
      <c r="E809" s="166"/>
      <c r="J809" s="163"/>
      <c r="L809" s="163"/>
      <c r="N809" s="167"/>
      <c r="O809" s="168"/>
    </row>
    <row r="810">
      <c r="B810" s="90"/>
      <c r="C810" s="90"/>
      <c r="E810" s="166"/>
      <c r="J810" s="163"/>
      <c r="L810" s="163"/>
      <c r="N810" s="167"/>
      <c r="O810" s="168"/>
    </row>
    <row r="811">
      <c r="B811" s="90"/>
      <c r="C811" s="90"/>
      <c r="E811" s="166"/>
      <c r="J811" s="163"/>
      <c r="L811" s="163"/>
      <c r="N811" s="167"/>
      <c r="O811" s="168"/>
    </row>
    <row r="812">
      <c r="B812" s="90"/>
      <c r="C812" s="90"/>
      <c r="E812" s="166"/>
      <c r="J812" s="163"/>
      <c r="L812" s="163"/>
      <c r="N812" s="167"/>
      <c r="O812" s="168"/>
    </row>
    <row r="813">
      <c r="B813" s="90"/>
      <c r="C813" s="90"/>
      <c r="E813" s="166"/>
      <c r="J813" s="163"/>
      <c r="L813" s="163"/>
      <c r="N813" s="167"/>
      <c r="O813" s="168"/>
    </row>
    <row r="814">
      <c r="B814" s="90"/>
      <c r="C814" s="90"/>
      <c r="E814" s="166"/>
      <c r="J814" s="163"/>
      <c r="L814" s="163"/>
      <c r="N814" s="167"/>
      <c r="O814" s="168"/>
    </row>
    <row r="815">
      <c r="B815" s="90"/>
      <c r="C815" s="90"/>
      <c r="E815" s="166"/>
      <c r="J815" s="163"/>
      <c r="L815" s="163"/>
      <c r="N815" s="167"/>
      <c r="O815" s="168"/>
    </row>
    <row r="816">
      <c r="B816" s="90"/>
      <c r="C816" s="90"/>
      <c r="E816" s="166"/>
      <c r="J816" s="163"/>
      <c r="L816" s="163"/>
      <c r="N816" s="167"/>
      <c r="O816" s="168"/>
    </row>
    <row r="817">
      <c r="B817" s="90"/>
      <c r="C817" s="90"/>
      <c r="E817" s="166"/>
      <c r="J817" s="163"/>
      <c r="L817" s="163"/>
      <c r="N817" s="167"/>
      <c r="O817" s="168"/>
    </row>
    <row r="818">
      <c r="B818" s="90"/>
      <c r="C818" s="90"/>
      <c r="E818" s="166"/>
      <c r="J818" s="163"/>
      <c r="L818" s="163"/>
      <c r="N818" s="167"/>
      <c r="O818" s="168"/>
    </row>
    <row r="819">
      <c r="B819" s="90"/>
      <c r="C819" s="90"/>
      <c r="E819" s="166"/>
      <c r="J819" s="163"/>
      <c r="L819" s="163"/>
      <c r="N819" s="167"/>
      <c r="O819" s="168"/>
    </row>
    <row r="820">
      <c r="B820" s="90"/>
      <c r="C820" s="90"/>
      <c r="E820" s="166"/>
      <c r="J820" s="163"/>
      <c r="L820" s="163"/>
      <c r="N820" s="167"/>
      <c r="O820" s="168"/>
    </row>
    <row r="821">
      <c r="B821" s="90"/>
      <c r="C821" s="90"/>
      <c r="E821" s="166"/>
      <c r="J821" s="163"/>
      <c r="L821" s="163"/>
      <c r="N821" s="167"/>
      <c r="O821" s="168"/>
    </row>
    <row r="822">
      <c r="B822" s="90"/>
      <c r="C822" s="90"/>
      <c r="E822" s="166"/>
      <c r="J822" s="163"/>
      <c r="L822" s="163"/>
      <c r="N822" s="167"/>
      <c r="O822" s="168"/>
    </row>
    <row r="823">
      <c r="B823" s="90"/>
      <c r="C823" s="90"/>
      <c r="E823" s="166"/>
      <c r="J823" s="163"/>
      <c r="L823" s="163"/>
      <c r="N823" s="167"/>
      <c r="O823" s="168"/>
    </row>
    <row r="824">
      <c r="B824" s="90"/>
      <c r="C824" s="90"/>
      <c r="E824" s="166"/>
      <c r="J824" s="163"/>
      <c r="L824" s="163"/>
      <c r="N824" s="167"/>
      <c r="O824" s="168"/>
    </row>
    <row r="825">
      <c r="B825" s="90"/>
      <c r="C825" s="90"/>
      <c r="E825" s="166"/>
      <c r="J825" s="163"/>
      <c r="L825" s="163"/>
      <c r="N825" s="167"/>
      <c r="O825" s="168"/>
    </row>
    <row r="826">
      <c r="B826" s="90"/>
      <c r="C826" s="90"/>
      <c r="E826" s="166"/>
      <c r="J826" s="163"/>
      <c r="L826" s="163"/>
      <c r="N826" s="167"/>
      <c r="O826" s="168"/>
    </row>
    <row r="827">
      <c r="B827" s="90"/>
      <c r="C827" s="90"/>
      <c r="E827" s="166"/>
      <c r="J827" s="163"/>
      <c r="L827" s="163"/>
      <c r="N827" s="167"/>
      <c r="O827" s="168"/>
    </row>
    <row r="828">
      <c r="B828" s="90"/>
      <c r="C828" s="90"/>
      <c r="E828" s="166"/>
      <c r="J828" s="163"/>
      <c r="L828" s="163"/>
      <c r="N828" s="167"/>
      <c r="O828" s="168"/>
    </row>
    <row r="829">
      <c r="B829" s="90"/>
      <c r="C829" s="90"/>
      <c r="E829" s="166"/>
      <c r="J829" s="163"/>
      <c r="L829" s="163"/>
      <c r="N829" s="167"/>
      <c r="O829" s="168"/>
    </row>
    <row r="830">
      <c r="B830" s="90"/>
      <c r="C830" s="90"/>
      <c r="E830" s="166"/>
      <c r="J830" s="163"/>
      <c r="L830" s="163"/>
      <c r="N830" s="167"/>
      <c r="O830" s="168"/>
    </row>
    <row r="831">
      <c r="B831" s="90"/>
      <c r="C831" s="90"/>
      <c r="E831" s="166"/>
      <c r="J831" s="163"/>
      <c r="L831" s="163"/>
      <c r="N831" s="167"/>
      <c r="O831" s="168"/>
    </row>
    <row r="832">
      <c r="B832" s="90"/>
      <c r="C832" s="90"/>
      <c r="E832" s="166"/>
      <c r="J832" s="163"/>
      <c r="L832" s="163"/>
      <c r="N832" s="167"/>
      <c r="O832" s="168"/>
    </row>
    <row r="833">
      <c r="B833" s="90"/>
      <c r="C833" s="90"/>
      <c r="E833" s="166"/>
      <c r="J833" s="163"/>
      <c r="L833" s="163"/>
      <c r="N833" s="167"/>
      <c r="O833" s="168"/>
    </row>
    <row r="834">
      <c r="B834" s="90"/>
      <c r="C834" s="90"/>
      <c r="E834" s="166"/>
      <c r="J834" s="163"/>
      <c r="L834" s="163"/>
      <c r="N834" s="167"/>
      <c r="O834" s="168"/>
    </row>
    <row r="835">
      <c r="B835" s="90"/>
      <c r="C835" s="90"/>
      <c r="E835" s="166"/>
      <c r="J835" s="163"/>
      <c r="L835" s="163"/>
      <c r="N835" s="167"/>
      <c r="O835" s="168"/>
    </row>
    <row r="836">
      <c r="B836" s="90"/>
      <c r="C836" s="90"/>
      <c r="E836" s="166"/>
      <c r="J836" s="163"/>
      <c r="L836" s="163"/>
      <c r="N836" s="167"/>
      <c r="O836" s="168"/>
    </row>
    <row r="837">
      <c r="B837" s="90"/>
      <c r="C837" s="90"/>
      <c r="E837" s="166"/>
      <c r="J837" s="163"/>
      <c r="L837" s="163"/>
      <c r="N837" s="167"/>
      <c r="O837" s="168"/>
    </row>
    <row r="838">
      <c r="B838" s="90"/>
      <c r="C838" s="90"/>
      <c r="E838" s="166"/>
      <c r="J838" s="163"/>
      <c r="L838" s="163"/>
      <c r="N838" s="167"/>
      <c r="O838" s="168"/>
    </row>
    <row r="839">
      <c r="B839" s="90"/>
      <c r="C839" s="90"/>
      <c r="E839" s="166"/>
      <c r="J839" s="163"/>
      <c r="L839" s="163"/>
      <c r="N839" s="167"/>
      <c r="O839" s="168"/>
    </row>
    <row r="840">
      <c r="B840" s="90"/>
      <c r="C840" s="90"/>
      <c r="E840" s="166"/>
      <c r="J840" s="163"/>
      <c r="L840" s="163"/>
      <c r="N840" s="167"/>
      <c r="O840" s="168"/>
    </row>
    <row r="841">
      <c r="B841" s="90"/>
      <c r="C841" s="90"/>
      <c r="E841" s="166"/>
      <c r="J841" s="163"/>
      <c r="L841" s="163"/>
      <c r="N841" s="167"/>
      <c r="O841" s="168"/>
    </row>
    <row r="842">
      <c r="B842" s="90"/>
      <c r="C842" s="90"/>
      <c r="E842" s="166"/>
      <c r="J842" s="163"/>
      <c r="L842" s="163"/>
      <c r="N842" s="167"/>
      <c r="O842" s="168"/>
    </row>
    <row r="843">
      <c r="B843" s="90"/>
      <c r="C843" s="90"/>
      <c r="E843" s="166"/>
      <c r="J843" s="163"/>
      <c r="L843" s="163"/>
      <c r="N843" s="167"/>
      <c r="O843" s="168"/>
    </row>
    <row r="844">
      <c r="B844" s="90"/>
      <c r="C844" s="90"/>
      <c r="E844" s="166"/>
      <c r="J844" s="163"/>
      <c r="L844" s="163"/>
      <c r="N844" s="167"/>
      <c r="O844" s="168"/>
    </row>
    <row r="845">
      <c r="B845" s="90"/>
      <c r="C845" s="90"/>
      <c r="E845" s="166"/>
      <c r="J845" s="163"/>
      <c r="L845" s="163"/>
      <c r="N845" s="167"/>
      <c r="O845" s="168"/>
    </row>
    <row r="846">
      <c r="B846" s="90"/>
      <c r="C846" s="90"/>
      <c r="E846" s="166"/>
      <c r="J846" s="163"/>
      <c r="L846" s="163"/>
      <c r="N846" s="167"/>
      <c r="O846" s="168"/>
    </row>
    <row r="847">
      <c r="B847" s="90"/>
      <c r="C847" s="90"/>
      <c r="E847" s="166"/>
      <c r="J847" s="163"/>
      <c r="L847" s="163"/>
      <c r="N847" s="167"/>
      <c r="O847" s="168"/>
    </row>
    <row r="848">
      <c r="B848" s="90"/>
      <c r="C848" s="90"/>
      <c r="E848" s="166"/>
      <c r="J848" s="163"/>
      <c r="L848" s="163"/>
      <c r="N848" s="167"/>
      <c r="O848" s="168"/>
    </row>
    <row r="849">
      <c r="B849" s="90"/>
      <c r="C849" s="90"/>
      <c r="E849" s="166"/>
      <c r="J849" s="163"/>
      <c r="L849" s="163"/>
      <c r="N849" s="167"/>
      <c r="O849" s="168"/>
    </row>
    <row r="850">
      <c r="B850" s="90"/>
      <c r="C850" s="90"/>
      <c r="E850" s="166"/>
      <c r="J850" s="163"/>
      <c r="L850" s="163"/>
      <c r="N850" s="167"/>
      <c r="O850" s="168"/>
    </row>
    <row r="851">
      <c r="B851" s="90"/>
      <c r="C851" s="90"/>
      <c r="E851" s="166"/>
      <c r="J851" s="163"/>
      <c r="L851" s="163"/>
      <c r="N851" s="167"/>
      <c r="O851" s="168"/>
    </row>
    <row r="852">
      <c r="B852" s="90"/>
      <c r="C852" s="90"/>
      <c r="E852" s="166"/>
      <c r="J852" s="163"/>
      <c r="L852" s="163"/>
      <c r="N852" s="167"/>
      <c r="O852" s="168"/>
    </row>
    <row r="853">
      <c r="B853" s="90"/>
      <c r="C853" s="90"/>
      <c r="E853" s="166"/>
      <c r="J853" s="163"/>
      <c r="L853" s="163"/>
      <c r="N853" s="167"/>
      <c r="O853" s="168"/>
    </row>
    <row r="854">
      <c r="B854" s="90"/>
      <c r="C854" s="90"/>
      <c r="E854" s="166"/>
      <c r="J854" s="163"/>
      <c r="L854" s="163"/>
      <c r="N854" s="167"/>
      <c r="O854" s="168"/>
    </row>
    <row r="855">
      <c r="B855" s="90"/>
      <c r="C855" s="90"/>
      <c r="E855" s="166"/>
      <c r="J855" s="163"/>
      <c r="L855" s="163"/>
      <c r="N855" s="167"/>
      <c r="O855" s="168"/>
    </row>
    <row r="856">
      <c r="B856" s="90"/>
      <c r="C856" s="90"/>
      <c r="E856" s="166"/>
      <c r="J856" s="163"/>
      <c r="L856" s="163"/>
      <c r="N856" s="167"/>
      <c r="O856" s="168"/>
    </row>
    <row r="857">
      <c r="B857" s="90"/>
      <c r="C857" s="90"/>
      <c r="E857" s="166"/>
      <c r="J857" s="163"/>
      <c r="L857" s="163"/>
      <c r="N857" s="167"/>
      <c r="O857" s="168"/>
    </row>
    <row r="858">
      <c r="B858" s="90"/>
      <c r="C858" s="90"/>
      <c r="E858" s="166"/>
      <c r="J858" s="163"/>
      <c r="L858" s="163"/>
      <c r="N858" s="167"/>
      <c r="O858" s="168"/>
    </row>
    <row r="859">
      <c r="B859" s="90"/>
      <c r="C859" s="90"/>
      <c r="E859" s="166"/>
      <c r="J859" s="163"/>
      <c r="L859" s="163"/>
      <c r="N859" s="167"/>
      <c r="O859" s="168"/>
    </row>
    <row r="860">
      <c r="B860" s="90"/>
      <c r="C860" s="90"/>
      <c r="E860" s="166"/>
      <c r="J860" s="163"/>
      <c r="L860" s="163"/>
      <c r="N860" s="167"/>
      <c r="O860" s="168"/>
    </row>
    <row r="861">
      <c r="B861" s="90"/>
      <c r="C861" s="90"/>
      <c r="E861" s="166"/>
      <c r="J861" s="163"/>
      <c r="L861" s="163"/>
      <c r="N861" s="167"/>
      <c r="O861" s="168"/>
    </row>
    <row r="862">
      <c r="B862" s="90"/>
      <c r="C862" s="90"/>
      <c r="E862" s="166"/>
      <c r="J862" s="163"/>
      <c r="L862" s="163"/>
      <c r="N862" s="167"/>
      <c r="O862" s="168"/>
    </row>
    <row r="863">
      <c r="B863" s="90"/>
      <c r="C863" s="90"/>
      <c r="E863" s="166"/>
      <c r="J863" s="163"/>
      <c r="L863" s="163"/>
      <c r="N863" s="167"/>
      <c r="O863" s="168"/>
    </row>
    <row r="864">
      <c r="B864" s="90"/>
      <c r="C864" s="90"/>
      <c r="E864" s="166"/>
      <c r="J864" s="163"/>
      <c r="L864" s="163"/>
      <c r="N864" s="167"/>
      <c r="O864" s="168"/>
    </row>
    <row r="865">
      <c r="B865" s="90"/>
      <c r="C865" s="90"/>
      <c r="E865" s="166"/>
      <c r="J865" s="163"/>
      <c r="L865" s="163"/>
      <c r="N865" s="167"/>
      <c r="O865" s="168"/>
    </row>
    <row r="866">
      <c r="B866" s="90"/>
      <c r="C866" s="90"/>
      <c r="E866" s="166"/>
      <c r="J866" s="163"/>
      <c r="L866" s="163"/>
      <c r="N866" s="167"/>
      <c r="O866" s="168"/>
    </row>
    <row r="867">
      <c r="B867" s="90"/>
      <c r="C867" s="90"/>
      <c r="E867" s="166"/>
      <c r="J867" s="163"/>
      <c r="L867" s="163"/>
      <c r="N867" s="167"/>
      <c r="O867" s="168"/>
    </row>
    <row r="868">
      <c r="B868" s="90"/>
      <c r="C868" s="90"/>
      <c r="E868" s="166"/>
      <c r="J868" s="163"/>
      <c r="L868" s="163"/>
      <c r="N868" s="167"/>
      <c r="O868" s="168"/>
    </row>
    <row r="869">
      <c r="B869" s="90"/>
      <c r="C869" s="90"/>
      <c r="E869" s="166"/>
      <c r="J869" s="163"/>
      <c r="L869" s="163"/>
      <c r="N869" s="167"/>
      <c r="O869" s="168"/>
    </row>
    <row r="870">
      <c r="B870" s="90"/>
      <c r="C870" s="90"/>
      <c r="E870" s="166"/>
      <c r="J870" s="163"/>
      <c r="L870" s="163"/>
      <c r="N870" s="167"/>
      <c r="O870" s="168"/>
    </row>
    <row r="871">
      <c r="B871" s="90"/>
      <c r="C871" s="90"/>
      <c r="E871" s="166"/>
      <c r="J871" s="163"/>
      <c r="L871" s="163"/>
      <c r="N871" s="167"/>
      <c r="O871" s="168"/>
    </row>
    <row r="872">
      <c r="B872" s="90"/>
      <c r="C872" s="90"/>
      <c r="E872" s="166"/>
      <c r="J872" s="163"/>
      <c r="L872" s="163"/>
      <c r="N872" s="167"/>
      <c r="O872" s="168"/>
    </row>
    <row r="873">
      <c r="B873" s="90"/>
      <c r="C873" s="90"/>
      <c r="E873" s="166"/>
      <c r="J873" s="163"/>
      <c r="L873" s="163"/>
      <c r="N873" s="167"/>
      <c r="O873" s="168"/>
    </row>
    <row r="874">
      <c r="B874" s="90"/>
      <c r="C874" s="90"/>
      <c r="E874" s="166"/>
      <c r="J874" s="163"/>
      <c r="L874" s="163"/>
      <c r="N874" s="167"/>
      <c r="O874" s="168"/>
    </row>
    <row r="875">
      <c r="B875" s="90"/>
      <c r="C875" s="90"/>
      <c r="E875" s="166"/>
      <c r="J875" s="163"/>
      <c r="L875" s="163"/>
      <c r="N875" s="167"/>
      <c r="O875" s="168"/>
    </row>
    <row r="876">
      <c r="B876" s="90"/>
      <c r="C876" s="90"/>
      <c r="E876" s="166"/>
      <c r="J876" s="163"/>
      <c r="L876" s="163"/>
      <c r="N876" s="167"/>
      <c r="O876" s="168"/>
    </row>
    <row r="877">
      <c r="B877" s="90"/>
      <c r="C877" s="90"/>
      <c r="E877" s="166"/>
      <c r="J877" s="163"/>
      <c r="L877" s="163"/>
      <c r="N877" s="167"/>
      <c r="O877" s="168"/>
    </row>
    <row r="878">
      <c r="B878" s="90"/>
      <c r="C878" s="90"/>
      <c r="E878" s="166"/>
      <c r="J878" s="163"/>
      <c r="L878" s="163"/>
      <c r="N878" s="167"/>
      <c r="O878" s="168"/>
    </row>
    <row r="879">
      <c r="B879" s="90"/>
      <c r="C879" s="90"/>
      <c r="E879" s="166"/>
      <c r="J879" s="163"/>
      <c r="L879" s="163"/>
      <c r="N879" s="167"/>
      <c r="O879" s="168"/>
    </row>
    <row r="880">
      <c r="B880" s="90"/>
      <c r="C880" s="90"/>
      <c r="E880" s="166"/>
      <c r="J880" s="163"/>
      <c r="L880" s="163"/>
      <c r="N880" s="167"/>
      <c r="O880" s="168"/>
    </row>
    <row r="881">
      <c r="B881" s="90"/>
      <c r="C881" s="90"/>
      <c r="E881" s="166"/>
      <c r="J881" s="163"/>
      <c r="L881" s="163"/>
      <c r="N881" s="167"/>
      <c r="O881" s="168"/>
    </row>
    <row r="882">
      <c r="B882" s="90"/>
      <c r="C882" s="90"/>
      <c r="E882" s="166"/>
      <c r="J882" s="163"/>
      <c r="L882" s="163"/>
      <c r="N882" s="167"/>
      <c r="O882" s="168"/>
    </row>
    <row r="883">
      <c r="B883" s="90"/>
      <c r="C883" s="90"/>
      <c r="E883" s="166"/>
      <c r="J883" s="163"/>
      <c r="L883" s="163"/>
      <c r="N883" s="167"/>
      <c r="O883" s="168"/>
    </row>
    <row r="884">
      <c r="B884" s="90"/>
      <c r="C884" s="90"/>
      <c r="E884" s="166"/>
      <c r="J884" s="163"/>
      <c r="L884" s="163"/>
      <c r="N884" s="167"/>
      <c r="O884" s="168"/>
    </row>
    <row r="885">
      <c r="B885" s="90"/>
      <c r="C885" s="90"/>
      <c r="E885" s="166"/>
      <c r="J885" s="163"/>
      <c r="L885" s="163"/>
      <c r="N885" s="167"/>
      <c r="O885" s="168"/>
    </row>
    <row r="886">
      <c r="B886" s="90"/>
      <c r="C886" s="90"/>
      <c r="E886" s="166"/>
      <c r="J886" s="163"/>
      <c r="L886" s="163"/>
      <c r="N886" s="167"/>
      <c r="O886" s="168"/>
    </row>
    <row r="887">
      <c r="B887" s="90"/>
      <c r="C887" s="90"/>
      <c r="E887" s="166"/>
      <c r="J887" s="163"/>
      <c r="L887" s="163"/>
      <c r="N887" s="167"/>
      <c r="O887" s="168"/>
    </row>
    <row r="888">
      <c r="B888" s="90"/>
      <c r="C888" s="90"/>
      <c r="E888" s="166"/>
      <c r="J888" s="163"/>
      <c r="L888" s="163"/>
      <c r="N888" s="167"/>
      <c r="O888" s="168"/>
    </row>
    <row r="889">
      <c r="B889" s="90"/>
      <c r="C889" s="90"/>
      <c r="E889" s="166"/>
      <c r="J889" s="163"/>
      <c r="L889" s="163"/>
      <c r="N889" s="167"/>
      <c r="O889" s="168"/>
    </row>
    <row r="890">
      <c r="B890" s="90"/>
      <c r="C890" s="90"/>
      <c r="E890" s="166"/>
      <c r="J890" s="163"/>
      <c r="L890" s="163"/>
      <c r="N890" s="167"/>
      <c r="O890" s="168"/>
    </row>
    <row r="891">
      <c r="B891" s="90"/>
      <c r="C891" s="90"/>
      <c r="E891" s="166"/>
      <c r="J891" s="163"/>
      <c r="L891" s="163"/>
      <c r="N891" s="167"/>
      <c r="O891" s="168"/>
    </row>
    <row r="892">
      <c r="B892" s="90"/>
      <c r="C892" s="90"/>
      <c r="E892" s="166"/>
      <c r="J892" s="163"/>
      <c r="L892" s="163"/>
      <c r="N892" s="167"/>
      <c r="O892" s="168"/>
    </row>
    <row r="893">
      <c r="B893" s="90"/>
      <c r="C893" s="90"/>
      <c r="E893" s="166"/>
      <c r="J893" s="163"/>
      <c r="L893" s="163"/>
      <c r="N893" s="167"/>
      <c r="O893" s="168"/>
    </row>
    <row r="894">
      <c r="B894" s="90"/>
      <c r="C894" s="90"/>
      <c r="E894" s="166"/>
      <c r="J894" s="163"/>
      <c r="L894" s="163"/>
      <c r="N894" s="167"/>
      <c r="O894" s="168"/>
    </row>
    <row r="895">
      <c r="B895" s="90"/>
      <c r="C895" s="90"/>
      <c r="E895" s="166"/>
      <c r="J895" s="163"/>
      <c r="L895" s="163"/>
      <c r="N895" s="167"/>
      <c r="O895" s="168"/>
    </row>
    <row r="896">
      <c r="B896" s="90"/>
      <c r="C896" s="90"/>
      <c r="E896" s="166"/>
      <c r="J896" s="163"/>
      <c r="L896" s="163"/>
      <c r="N896" s="167"/>
      <c r="O896" s="168"/>
    </row>
    <row r="897">
      <c r="B897" s="90"/>
      <c r="C897" s="90"/>
      <c r="E897" s="166"/>
      <c r="J897" s="163"/>
      <c r="L897" s="163"/>
      <c r="N897" s="167"/>
      <c r="O897" s="168"/>
    </row>
    <row r="898">
      <c r="B898" s="90"/>
      <c r="C898" s="90"/>
      <c r="E898" s="166"/>
      <c r="J898" s="163"/>
      <c r="L898" s="163"/>
      <c r="N898" s="167"/>
      <c r="O898" s="168"/>
    </row>
    <row r="899">
      <c r="B899" s="90"/>
      <c r="C899" s="90"/>
      <c r="E899" s="166"/>
      <c r="J899" s="163"/>
      <c r="L899" s="163"/>
      <c r="N899" s="167"/>
      <c r="O899" s="168"/>
    </row>
    <row r="900">
      <c r="B900" s="90"/>
      <c r="C900" s="90"/>
      <c r="E900" s="166"/>
      <c r="J900" s="163"/>
      <c r="L900" s="163"/>
      <c r="N900" s="167"/>
      <c r="O900" s="168"/>
    </row>
    <row r="901">
      <c r="B901" s="90"/>
      <c r="C901" s="90"/>
      <c r="E901" s="166"/>
      <c r="J901" s="163"/>
      <c r="L901" s="163"/>
      <c r="N901" s="167"/>
      <c r="O901" s="168"/>
    </row>
    <row r="902">
      <c r="B902" s="90"/>
      <c r="C902" s="90"/>
      <c r="E902" s="166"/>
      <c r="J902" s="163"/>
      <c r="L902" s="163"/>
      <c r="N902" s="167"/>
      <c r="O902" s="168"/>
    </row>
    <row r="903">
      <c r="B903" s="90"/>
      <c r="C903" s="90"/>
      <c r="E903" s="166"/>
      <c r="J903" s="163"/>
      <c r="L903" s="163"/>
      <c r="N903" s="167"/>
      <c r="O903" s="168"/>
    </row>
    <row r="904">
      <c r="B904" s="90"/>
      <c r="C904" s="90"/>
      <c r="E904" s="166"/>
      <c r="J904" s="163"/>
      <c r="L904" s="163"/>
      <c r="N904" s="167"/>
      <c r="O904" s="168"/>
    </row>
    <row r="905">
      <c r="B905" s="90"/>
      <c r="C905" s="90"/>
      <c r="E905" s="166"/>
      <c r="J905" s="163"/>
      <c r="L905" s="163"/>
      <c r="N905" s="167"/>
      <c r="O905" s="168"/>
    </row>
    <row r="906">
      <c r="B906" s="90"/>
      <c r="C906" s="90"/>
      <c r="E906" s="166"/>
      <c r="J906" s="163"/>
      <c r="L906" s="163"/>
      <c r="N906" s="167"/>
      <c r="O906" s="168"/>
    </row>
    <row r="907">
      <c r="B907" s="90"/>
      <c r="C907" s="90"/>
      <c r="E907" s="166"/>
      <c r="J907" s="163"/>
      <c r="L907" s="163"/>
      <c r="N907" s="167"/>
      <c r="O907" s="168"/>
    </row>
    <row r="908">
      <c r="B908" s="90"/>
      <c r="C908" s="90"/>
      <c r="E908" s="166"/>
      <c r="J908" s="163"/>
      <c r="L908" s="163"/>
      <c r="N908" s="167"/>
      <c r="O908" s="168"/>
    </row>
    <row r="909">
      <c r="B909" s="90"/>
      <c r="C909" s="90"/>
      <c r="E909" s="166"/>
      <c r="J909" s="163"/>
      <c r="L909" s="163"/>
      <c r="N909" s="167"/>
      <c r="O909" s="168"/>
    </row>
    <row r="910">
      <c r="B910" s="90"/>
      <c r="C910" s="90"/>
      <c r="E910" s="166"/>
      <c r="J910" s="163"/>
      <c r="L910" s="163"/>
      <c r="N910" s="167"/>
      <c r="O910" s="168"/>
    </row>
    <row r="911">
      <c r="B911" s="90"/>
      <c r="C911" s="90"/>
      <c r="E911" s="166"/>
      <c r="J911" s="163"/>
      <c r="L911" s="163"/>
      <c r="N911" s="167"/>
      <c r="O911" s="168"/>
    </row>
    <row r="912">
      <c r="B912" s="90"/>
      <c r="C912" s="90"/>
      <c r="E912" s="166"/>
      <c r="J912" s="163"/>
      <c r="L912" s="163"/>
      <c r="N912" s="167"/>
      <c r="O912" s="168"/>
    </row>
    <row r="913">
      <c r="B913" s="90"/>
      <c r="C913" s="90"/>
      <c r="E913" s="166"/>
      <c r="J913" s="163"/>
      <c r="L913" s="163"/>
      <c r="N913" s="167"/>
      <c r="O913" s="168"/>
    </row>
    <row r="914">
      <c r="B914" s="90"/>
      <c r="C914" s="90"/>
      <c r="E914" s="166"/>
      <c r="J914" s="163"/>
      <c r="L914" s="163"/>
      <c r="N914" s="167"/>
      <c r="O914" s="168"/>
    </row>
    <row r="915">
      <c r="B915" s="90"/>
      <c r="C915" s="90"/>
      <c r="E915" s="166"/>
      <c r="J915" s="163"/>
      <c r="L915" s="163"/>
      <c r="N915" s="167"/>
      <c r="O915" s="168"/>
    </row>
    <row r="916">
      <c r="B916" s="90"/>
      <c r="C916" s="90"/>
      <c r="E916" s="166"/>
      <c r="J916" s="163"/>
      <c r="L916" s="163"/>
      <c r="N916" s="167"/>
      <c r="O916" s="168"/>
    </row>
    <row r="917">
      <c r="B917" s="90"/>
      <c r="C917" s="90"/>
      <c r="E917" s="166"/>
      <c r="J917" s="163"/>
      <c r="L917" s="163"/>
      <c r="N917" s="167"/>
      <c r="O917" s="168"/>
    </row>
    <row r="918">
      <c r="B918" s="90"/>
      <c r="C918" s="90"/>
      <c r="E918" s="166"/>
      <c r="J918" s="163"/>
      <c r="L918" s="163"/>
      <c r="N918" s="167"/>
      <c r="O918" s="168"/>
    </row>
    <row r="919">
      <c r="B919" s="90"/>
      <c r="C919" s="90"/>
      <c r="E919" s="166"/>
      <c r="J919" s="163"/>
      <c r="L919" s="163"/>
      <c r="N919" s="167"/>
      <c r="O919" s="168"/>
    </row>
    <row r="920">
      <c r="B920" s="90"/>
      <c r="C920" s="90"/>
      <c r="E920" s="166"/>
      <c r="J920" s="163"/>
      <c r="L920" s="163"/>
      <c r="N920" s="167"/>
      <c r="O920" s="168"/>
    </row>
    <row r="921">
      <c r="B921" s="90"/>
      <c r="C921" s="90"/>
      <c r="E921" s="166"/>
      <c r="J921" s="163"/>
      <c r="L921" s="163"/>
      <c r="N921" s="167"/>
      <c r="O921" s="168"/>
    </row>
    <row r="922">
      <c r="B922" s="90"/>
      <c r="C922" s="90"/>
      <c r="E922" s="166"/>
      <c r="J922" s="163"/>
      <c r="L922" s="163"/>
      <c r="N922" s="167"/>
      <c r="O922" s="168"/>
    </row>
    <row r="923">
      <c r="B923" s="90"/>
      <c r="C923" s="90"/>
      <c r="E923" s="166"/>
      <c r="J923" s="163"/>
      <c r="L923" s="163"/>
      <c r="N923" s="167"/>
      <c r="O923" s="168"/>
    </row>
    <row r="924">
      <c r="B924" s="90"/>
      <c r="C924" s="90"/>
      <c r="E924" s="166"/>
      <c r="J924" s="163"/>
      <c r="L924" s="163"/>
      <c r="N924" s="167"/>
      <c r="O924" s="168"/>
    </row>
    <row r="925">
      <c r="B925" s="90"/>
      <c r="C925" s="90"/>
      <c r="E925" s="166"/>
      <c r="J925" s="163"/>
      <c r="L925" s="163"/>
      <c r="N925" s="167"/>
      <c r="O925" s="168"/>
    </row>
    <row r="926">
      <c r="B926" s="90"/>
      <c r="C926" s="90"/>
      <c r="E926" s="166"/>
      <c r="J926" s="163"/>
      <c r="L926" s="163"/>
      <c r="N926" s="167"/>
      <c r="O926" s="168"/>
    </row>
    <row r="927">
      <c r="B927" s="90"/>
      <c r="C927" s="90"/>
      <c r="E927" s="166"/>
      <c r="J927" s="163"/>
      <c r="L927" s="163"/>
      <c r="N927" s="167"/>
      <c r="O927" s="168"/>
    </row>
    <row r="928">
      <c r="B928" s="90"/>
      <c r="C928" s="90"/>
      <c r="E928" s="166"/>
      <c r="J928" s="163"/>
      <c r="L928" s="163"/>
      <c r="N928" s="167"/>
      <c r="O928" s="168"/>
    </row>
    <row r="929">
      <c r="B929" s="90"/>
      <c r="C929" s="90"/>
      <c r="E929" s="166"/>
      <c r="J929" s="163"/>
      <c r="L929" s="163"/>
      <c r="N929" s="167"/>
      <c r="O929" s="168"/>
    </row>
    <row r="930">
      <c r="B930" s="90"/>
      <c r="C930" s="90"/>
      <c r="E930" s="166"/>
      <c r="J930" s="163"/>
      <c r="L930" s="163"/>
      <c r="N930" s="167"/>
      <c r="O930" s="168"/>
    </row>
    <row r="931">
      <c r="B931" s="90"/>
      <c r="C931" s="90"/>
      <c r="E931" s="166"/>
      <c r="J931" s="163"/>
      <c r="L931" s="163"/>
      <c r="N931" s="167"/>
      <c r="O931" s="168"/>
    </row>
    <row r="932">
      <c r="B932" s="90"/>
      <c r="C932" s="90"/>
      <c r="E932" s="166"/>
      <c r="J932" s="163"/>
      <c r="L932" s="163"/>
      <c r="N932" s="167"/>
      <c r="O932" s="168"/>
    </row>
    <row r="933">
      <c r="B933" s="90"/>
      <c r="C933" s="90"/>
      <c r="E933" s="166"/>
      <c r="J933" s="163"/>
      <c r="L933" s="163"/>
      <c r="N933" s="167"/>
      <c r="O933" s="168"/>
    </row>
    <row r="934">
      <c r="B934" s="90"/>
      <c r="C934" s="90"/>
      <c r="E934" s="166"/>
      <c r="J934" s="163"/>
      <c r="L934" s="163"/>
      <c r="N934" s="167"/>
      <c r="O934" s="168"/>
    </row>
    <row r="935">
      <c r="B935" s="90"/>
      <c r="C935" s="90"/>
      <c r="E935" s="166"/>
      <c r="J935" s="163"/>
      <c r="L935" s="163"/>
      <c r="N935" s="167"/>
      <c r="O935" s="168"/>
    </row>
    <row r="936">
      <c r="B936" s="90"/>
      <c r="C936" s="90"/>
      <c r="E936" s="166"/>
      <c r="J936" s="163"/>
      <c r="L936" s="163"/>
      <c r="N936" s="167"/>
      <c r="O936" s="168"/>
    </row>
    <row r="937">
      <c r="B937" s="90"/>
      <c r="C937" s="90"/>
      <c r="E937" s="166"/>
      <c r="J937" s="163"/>
      <c r="L937" s="163"/>
      <c r="N937" s="167"/>
      <c r="O937" s="168"/>
    </row>
    <row r="938">
      <c r="B938" s="90"/>
      <c r="C938" s="90"/>
      <c r="E938" s="166"/>
      <c r="J938" s="163"/>
      <c r="L938" s="163"/>
      <c r="N938" s="167"/>
      <c r="O938" s="168"/>
    </row>
    <row r="939">
      <c r="B939" s="90"/>
      <c r="C939" s="90"/>
      <c r="E939" s="166"/>
      <c r="J939" s="163"/>
      <c r="L939" s="163"/>
      <c r="N939" s="167"/>
      <c r="O939" s="168"/>
    </row>
    <row r="940">
      <c r="B940" s="90"/>
      <c r="C940" s="90"/>
      <c r="E940" s="166"/>
      <c r="J940" s="163"/>
      <c r="L940" s="163"/>
      <c r="N940" s="167"/>
      <c r="O940" s="168"/>
    </row>
    <row r="941">
      <c r="B941" s="90"/>
      <c r="C941" s="90"/>
      <c r="E941" s="166"/>
      <c r="J941" s="163"/>
      <c r="L941" s="163"/>
      <c r="N941" s="167"/>
      <c r="O941" s="168"/>
    </row>
    <row r="942">
      <c r="B942" s="90"/>
      <c r="C942" s="90"/>
      <c r="E942" s="166"/>
      <c r="J942" s="163"/>
      <c r="L942" s="163"/>
      <c r="N942" s="167"/>
      <c r="O942" s="168"/>
    </row>
    <row r="943">
      <c r="B943" s="90"/>
      <c r="C943" s="90"/>
      <c r="E943" s="166"/>
      <c r="J943" s="163"/>
      <c r="L943" s="163"/>
      <c r="N943" s="167"/>
      <c r="O943" s="168"/>
    </row>
    <row r="944">
      <c r="B944" s="90"/>
      <c r="C944" s="90"/>
      <c r="E944" s="166"/>
      <c r="J944" s="163"/>
      <c r="L944" s="163"/>
      <c r="N944" s="167"/>
      <c r="O944" s="168"/>
    </row>
    <row r="945">
      <c r="B945" s="90"/>
      <c r="C945" s="90"/>
      <c r="E945" s="166"/>
      <c r="J945" s="163"/>
      <c r="L945" s="163"/>
      <c r="N945" s="167"/>
      <c r="O945" s="168"/>
    </row>
    <row r="946">
      <c r="B946" s="90"/>
      <c r="C946" s="90"/>
      <c r="E946" s="166"/>
      <c r="J946" s="163"/>
      <c r="L946" s="163"/>
      <c r="N946" s="167"/>
      <c r="O946" s="168"/>
    </row>
    <row r="947">
      <c r="B947" s="90"/>
      <c r="C947" s="90"/>
      <c r="E947" s="166"/>
      <c r="J947" s="163"/>
      <c r="L947" s="163"/>
      <c r="N947" s="167"/>
      <c r="O947" s="168"/>
    </row>
    <row r="948">
      <c r="B948" s="90"/>
      <c r="C948" s="90"/>
      <c r="E948" s="166"/>
      <c r="J948" s="163"/>
      <c r="L948" s="163"/>
      <c r="N948" s="167"/>
      <c r="O948" s="168"/>
    </row>
    <row r="949">
      <c r="B949" s="90"/>
      <c r="C949" s="90"/>
      <c r="E949" s="166"/>
      <c r="J949" s="163"/>
      <c r="L949" s="163"/>
      <c r="N949" s="167"/>
      <c r="O949" s="168"/>
    </row>
    <row r="950">
      <c r="B950" s="90"/>
      <c r="C950" s="90"/>
      <c r="E950" s="166"/>
      <c r="J950" s="163"/>
      <c r="L950" s="163"/>
      <c r="N950" s="167"/>
      <c r="O950" s="168"/>
    </row>
    <row r="951">
      <c r="B951" s="90"/>
      <c r="C951" s="90"/>
      <c r="E951" s="166"/>
      <c r="J951" s="163"/>
      <c r="L951" s="163"/>
      <c r="N951" s="167"/>
      <c r="O951" s="168"/>
    </row>
    <row r="952">
      <c r="B952" s="90"/>
      <c r="C952" s="90"/>
      <c r="E952" s="166"/>
      <c r="J952" s="163"/>
      <c r="L952" s="163"/>
      <c r="N952" s="167"/>
      <c r="O952" s="168"/>
    </row>
    <row r="953">
      <c r="B953" s="90"/>
      <c r="C953" s="90"/>
      <c r="E953" s="166"/>
      <c r="J953" s="163"/>
      <c r="L953" s="163"/>
      <c r="N953" s="167"/>
      <c r="O953" s="168"/>
    </row>
    <row r="954">
      <c r="B954" s="90"/>
      <c r="C954" s="90"/>
      <c r="E954" s="166"/>
      <c r="J954" s="163"/>
      <c r="L954" s="163"/>
      <c r="N954" s="167"/>
      <c r="O954" s="168"/>
    </row>
    <row r="955">
      <c r="B955" s="90"/>
      <c r="C955" s="90"/>
      <c r="E955" s="166"/>
      <c r="J955" s="163"/>
      <c r="L955" s="163"/>
      <c r="N955" s="167"/>
      <c r="O955" s="168"/>
    </row>
    <row r="956">
      <c r="B956" s="90"/>
      <c r="C956" s="90"/>
      <c r="E956" s="166"/>
      <c r="J956" s="163"/>
      <c r="L956" s="163"/>
      <c r="N956" s="167"/>
      <c r="O956" s="168"/>
    </row>
    <row r="957">
      <c r="B957" s="90"/>
      <c r="C957" s="90"/>
      <c r="E957" s="166"/>
      <c r="J957" s="163"/>
      <c r="L957" s="163"/>
      <c r="N957" s="167"/>
      <c r="O957" s="168"/>
    </row>
    <row r="958">
      <c r="B958" s="90"/>
      <c r="C958" s="90"/>
      <c r="E958" s="166"/>
      <c r="J958" s="163"/>
      <c r="L958" s="163"/>
      <c r="N958" s="167"/>
      <c r="O958" s="168"/>
    </row>
    <row r="959">
      <c r="B959" s="90"/>
      <c r="C959" s="90"/>
      <c r="E959" s="166"/>
      <c r="J959" s="163"/>
      <c r="L959" s="163"/>
      <c r="N959" s="167"/>
      <c r="O959" s="168"/>
    </row>
    <row r="960">
      <c r="B960" s="90"/>
      <c r="C960" s="90"/>
      <c r="E960" s="166"/>
      <c r="J960" s="163"/>
      <c r="L960" s="163"/>
      <c r="N960" s="167"/>
      <c r="O960" s="168"/>
    </row>
    <row r="961">
      <c r="B961" s="90"/>
      <c r="C961" s="90"/>
      <c r="E961" s="166"/>
      <c r="J961" s="163"/>
      <c r="L961" s="163"/>
      <c r="N961" s="167"/>
      <c r="O961" s="168"/>
    </row>
    <row r="962">
      <c r="B962" s="90"/>
      <c r="C962" s="90"/>
      <c r="E962" s="166"/>
      <c r="J962" s="163"/>
      <c r="L962" s="163"/>
      <c r="N962" s="167"/>
      <c r="O962" s="168"/>
    </row>
    <row r="963">
      <c r="B963" s="90"/>
      <c r="C963" s="90"/>
      <c r="E963" s="166"/>
      <c r="J963" s="163"/>
      <c r="L963" s="163"/>
      <c r="N963" s="167"/>
      <c r="O963" s="168"/>
    </row>
    <row r="964">
      <c r="B964" s="90"/>
      <c r="C964" s="90"/>
      <c r="E964" s="166"/>
      <c r="J964" s="163"/>
      <c r="L964" s="163"/>
      <c r="N964" s="167"/>
      <c r="O964" s="168"/>
    </row>
    <row r="965">
      <c r="B965" s="90"/>
      <c r="C965" s="90"/>
      <c r="E965" s="166"/>
      <c r="J965" s="163"/>
      <c r="L965" s="163"/>
      <c r="N965" s="167"/>
      <c r="O965" s="168"/>
    </row>
    <row r="966">
      <c r="B966" s="90"/>
      <c r="C966" s="90"/>
      <c r="E966" s="166"/>
      <c r="J966" s="163"/>
      <c r="L966" s="163"/>
      <c r="N966" s="167"/>
      <c r="O966" s="168"/>
    </row>
    <row r="967">
      <c r="B967" s="90"/>
      <c r="C967" s="90"/>
      <c r="E967" s="166"/>
      <c r="J967" s="163"/>
      <c r="L967" s="163"/>
      <c r="N967" s="167"/>
      <c r="O967" s="168"/>
    </row>
    <row r="968">
      <c r="B968" s="90"/>
      <c r="C968" s="90"/>
      <c r="E968" s="166"/>
      <c r="J968" s="163"/>
      <c r="L968" s="163"/>
      <c r="N968" s="167"/>
      <c r="O968" s="168"/>
    </row>
    <row r="969">
      <c r="B969" s="90"/>
      <c r="C969" s="90"/>
      <c r="E969" s="166"/>
      <c r="J969" s="163"/>
      <c r="L969" s="163"/>
      <c r="N969" s="167"/>
      <c r="O969" s="168"/>
    </row>
    <row r="970">
      <c r="B970" s="90"/>
      <c r="C970" s="90"/>
      <c r="E970" s="166"/>
      <c r="J970" s="163"/>
      <c r="L970" s="163"/>
      <c r="N970" s="167"/>
      <c r="O970" s="168"/>
    </row>
    <row r="971">
      <c r="B971" s="90"/>
      <c r="C971" s="90"/>
      <c r="E971" s="166"/>
      <c r="J971" s="163"/>
      <c r="L971" s="163"/>
      <c r="N971" s="167"/>
      <c r="O971" s="168"/>
    </row>
    <row r="972">
      <c r="B972" s="90"/>
      <c r="C972" s="90"/>
      <c r="E972" s="166"/>
      <c r="J972" s="163"/>
      <c r="L972" s="163"/>
      <c r="N972" s="167"/>
      <c r="O972" s="168"/>
    </row>
    <row r="973">
      <c r="B973" s="90"/>
      <c r="C973" s="90"/>
      <c r="E973" s="166"/>
      <c r="J973" s="163"/>
      <c r="L973" s="163"/>
      <c r="N973" s="167"/>
      <c r="O973" s="168"/>
    </row>
    <row r="974">
      <c r="B974" s="90"/>
      <c r="C974" s="90"/>
      <c r="E974" s="166"/>
      <c r="J974" s="163"/>
      <c r="L974" s="163"/>
      <c r="N974" s="167"/>
      <c r="O974" s="168"/>
    </row>
    <row r="975">
      <c r="B975" s="90"/>
      <c r="C975" s="90"/>
      <c r="E975" s="166"/>
      <c r="J975" s="163"/>
      <c r="L975" s="163"/>
      <c r="N975" s="167"/>
      <c r="O975" s="168"/>
    </row>
    <row r="976">
      <c r="B976" s="90"/>
      <c r="C976" s="90"/>
      <c r="E976" s="166"/>
      <c r="J976" s="163"/>
      <c r="L976" s="163"/>
      <c r="N976" s="167"/>
      <c r="O976" s="168"/>
    </row>
    <row r="977">
      <c r="B977" s="90"/>
      <c r="C977" s="90"/>
      <c r="E977" s="166"/>
      <c r="J977" s="163"/>
      <c r="L977" s="163"/>
      <c r="N977" s="167"/>
      <c r="O977" s="168"/>
    </row>
    <row r="978">
      <c r="B978" s="90"/>
      <c r="C978" s="90"/>
      <c r="E978" s="166"/>
      <c r="J978" s="163"/>
      <c r="L978" s="163"/>
      <c r="N978" s="167"/>
      <c r="O978" s="168"/>
    </row>
    <row r="979">
      <c r="B979" s="90"/>
      <c r="C979" s="90"/>
      <c r="E979" s="166"/>
      <c r="J979" s="163"/>
      <c r="L979" s="163"/>
      <c r="N979" s="167"/>
      <c r="O979" s="168"/>
    </row>
    <row r="980">
      <c r="B980" s="90"/>
      <c r="C980" s="90"/>
      <c r="E980" s="166"/>
      <c r="J980" s="163"/>
      <c r="L980" s="163"/>
      <c r="N980" s="167"/>
      <c r="O980" s="168"/>
    </row>
    <row r="981">
      <c r="B981" s="90"/>
      <c r="C981" s="90"/>
      <c r="E981" s="166"/>
      <c r="J981" s="163"/>
      <c r="L981" s="163"/>
      <c r="N981" s="167"/>
      <c r="O981" s="168"/>
    </row>
    <row r="982">
      <c r="B982" s="90"/>
      <c r="C982" s="90"/>
      <c r="E982" s="166"/>
      <c r="J982" s="163"/>
      <c r="L982" s="163"/>
      <c r="N982" s="167"/>
      <c r="O982" s="168"/>
    </row>
    <row r="983">
      <c r="B983" s="90"/>
      <c r="C983" s="90"/>
      <c r="E983" s="166"/>
      <c r="J983" s="163"/>
      <c r="L983" s="163"/>
      <c r="N983" s="167"/>
      <c r="O983" s="168"/>
    </row>
    <row r="984">
      <c r="B984" s="90"/>
      <c r="C984" s="90"/>
      <c r="E984" s="166"/>
      <c r="J984" s="163"/>
      <c r="L984" s="163"/>
      <c r="N984" s="167"/>
      <c r="O984" s="168"/>
    </row>
    <row r="985">
      <c r="B985" s="90"/>
      <c r="C985" s="90"/>
      <c r="E985" s="166"/>
      <c r="J985" s="163"/>
      <c r="L985" s="163"/>
      <c r="N985" s="167"/>
      <c r="O985" s="168"/>
    </row>
    <row r="986">
      <c r="B986" s="90"/>
      <c r="C986" s="90"/>
      <c r="E986" s="166"/>
      <c r="J986" s="163"/>
      <c r="L986" s="163"/>
      <c r="N986" s="167"/>
      <c r="O986" s="168"/>
    </row>
    <row r="987">
      <c r="B987" s="90"/>
      <c r="C987" s="90"/>
      <c r="E987" s="166"/>
      <c r="J987" s="163"/>
      <c r="L987" s="163"/>
      <c r="N987" s="167"/>
      <c r="O987" s="168"/>
    </row>
    <row r="988">
      <c r="B988" s="90"/>
      <c r="C988" s="90"/>
      <c r="E988" s="166"/>
      <c r="J988" s="163"/>
      <c r="L988" s="163"/>
      <c r="N988" s="167"/>
      <c r="O988" s="168"/>
    </row>
    <row r="989">
      <c r="B989" s="90"/>
      <c r="C989" s="90"/>
      <c r="E989" s="166"/>
      <c r="J989" s="163"/>
      <c r="L989" s="163"/>
      <c r="N989" s="167"/>
      <c r="O989" s="168"/>
    </row>
    <row r="990">
      <c r="B990" s="90"/>
      <c r="C990" s="90"/>
      <c r="E990" s="166"/>
      <c r="J990" s="163"/>
      <c r="L990" s="163"/>
      <c r="N990" s="167"/>
      <c r="O990" s="168"/>
    </row>
    <row r="991">
      <c r="B991" s="90"/>
      <c r="C991" s="90"/>
      <c r="E991" s="166"/>
      <c r="J991" s="163"/>
      <c r="L991" s="163"/>
      <c r="N991" s="167"/>
      <c r="O991" s="168"/>
    </row>
    <row r="992">
      <c r="B992" s="90"/>
      <c r="C992" s="90"/>
      <c r="E992" s="166"/>
      <c r="J992" s="163"/>
      <c r="L992" s="163"/>
      <c r="N992" s="167"/>
      <c r="O992" s="168"/>
    </row>
    <row r="993">
      <c r="B993" s="90"/>
      <c r="C993" s="90"/>
      <c r="E993" s="166"/>
      <c r="J993" s="163"/>
      <c r="L993" s="163"/>
      <c r="N993" s="167"/>
      <c r="O993" s="168"/>
    </row>
    <row r="994">
      <c r="B994" s="90"/>
      <c r="C994" s="90"/>
      <c r="E994" s="166"/>
      <c r="J994" s="163"/>
      <c r="L994" s="163"/>
      <c r="N994" s="167"/>
      <c r="O994" s="168"/>
    </row>
    <row r="995">
      <c r="B995" s="90"/>
      <c r="C995" s="90"/>
      <c r="E995" s="166"/>
      <c r="J995" s="163"/>
      <c r="L995" s="163"/>
      <c r="N995" s="167"/>
      <c r="O995" s="168"/>
    </row>
    <row r="996">
      <c r="B996" s="90"/>
      <c r="C996" s="90"/>
      <c r="E996" s="166"/>
      <c r="J996" s="163"/>
      <c r="L996" s="163"/>
      <c r="N996" s="167"/>
      <c r="O996" s="168"/>
    </row>
    <row r="997">
      <c r="B997" s="90"/>
      <c r="C997" s="90"/>
      <c r="E997" s="166"/>
      <c r="J997" s="163"/>
      <c r="L997" s="163"/>
      <c r="N997" s="167"/>
      <c r="O997" s="168"/>
    </row>
    <row r="998">
      <c r="B998" s="90"/>
      <c r="C998" s="90"/>
      <c r="E998" s="166"/>
      <c r="J998" s="163"/>
      <c r="L998" s="163"/>
      <c r="N998" s="167"/>
      <c r="O998" s="168"/>
    </row>
    <row r="999">
      <c r="B999" s="90"/>
      <c r="C999" s="90"/>
      <c r="E999" s="166"/>
      <c r="J999" s="163"/>
      <c r="L999" s="163"/>
      <c r="N999" s="167"/>
      <c r="O999" s="168"/>
    </row>
    <row r="1000">
      <c r="B1000" s="90"/>
      <c r="C1000" s="90"/>
      <c r="E1000" s="166"/>
      <c r="J1000" s="163"/>
      <c r="L1000" s="163"/>
      <c r="N1000" s="167"/>
      <c r="O1000" s="168"/>
    </row>
    <row r="1001">
      <c r="B1001" s="90"/>
      <c r="C1001" s="90"/>
      <c r="E1001" s="166"/>
      <c r="J1001" s="163"/>
      <c r="L1001" s="163"/>
      <c r="N1001" s="167"/>
      <c r="O1001" s="168"/>
    </row>
    <row r="1002">
      <c r="B1002" s="90"/>
      <c r="C1002" s="90"/>
      <c r="E1002" s="166"/>
      <c r="J1002" s="163"/>
      <c r="L1002" s="163"/>
      <c r="N1002" s="167"/>
      <c r="O1002" s="168"/>
    </row>
    <row r="1003">
      <c r="B1003" s="90"/>
      <c r="C1003" s="90"/>
      <c r="E1003" s="166"/>
      <c r="J1003" s="163"/>
      <c r="L1003" s="163"/>
      <c r="N1003" s="167"/>
      <c r="O1003" s="168"/>
    </row>
    <row r="1004">
      <c r="B1004" s="90"/>
      <c r="C1004" s="90"/>
      <c r="E1004" s="166"/>
      <c r="J1004" s="163"/>
      <c r="L1004" s="163"/>
      <c r="N1004" s="167"/>
      <c r="O1004" s="168"/>
    </row>
    <row r="1005">
      <c r="B1005" s="90"/>
      <c r="C1005" s="90"/>
      <c r="E1005" s="166"/>
      <c r="J1005" s="163"/>
      <c r="L1005" s="163"/>
      <c r="N1005" s="167"/>
      <c r="O1005" s="168"/>
    </row>
    <row r="1006">
      <c r="B1006" s="90"/>
      <c r="C1006" s="90"/>
      <c r="E1006" s="166"/>
      <c r="J1006" s="163"/>
      <c r="L1006" s="163"/>
      <c r="N1006" s="167"/>
      <c r="O1006" s="168"/>
    </row>
    <row r="1007">
      <c r="B1007" s="90"/>
      <c r="C1007" s="90"/>
      <c r="E1007" s="166"/>
      <c r="J1007" s="163"/>
      <c r="L1007" s="163"/>
      <c r="N1007" s="167"/>
      <c r="O1007" s="168"/>
    </row>
    <row r="1008">
      <c r="B1008" s="90"/>
      <c r="C1008" s="90"/>
      <c r="E1008" s="166"/>
      <c r="J1008" s="163"/>
      <c r="L1008" s="163"/>
      <c r="N1008" s="167"/>
      <c r="O1008" s="168"/>
    </row>
    <row r="1009">
      <c r="B1009" s="90"/>
      <c r="C1009" s="90"/>
      <c r="E1009" s="166"/>
      <c r="J1009" s="163"/>
      <c r="L1009" s="163"/>
      <c r="N1009" s="167"/>
      <c r="O1009" s="168"/>
    </row>
    <row r="1010">
      <c r="B1010" s="90"/>
      <c r="C1010" s="90"/>
      <c r="E1010" s="166"/>
      <c r="J1010" s="163"/>
      <c r="L1010" s="163"/>
      <c r="N1010" s="167"/>
      <c r="O1010" s="168"/>
    </row>
    <row r="1011">
      <c r="B1011" s="90"/>
      <c r="C1011" s="90"/>
      <c r="E1011" s="166"/>
      <c r="J1011" s="163"/>
      <c r="L1011" s="163"/>
      <c r="N1011" s="167"/>
      <c r="O1011" s="168"/>
    </row>
    <row r="1012">
      <c r="B1012" s="90"/>
      <c r="C1012" s="90"/>
      <c r="E1012" s="166"/>
      <c r="J1012" s="163"/>
      <c r="L1012" s="163"/>
      <c r="N1012" s="167"/>
      <c r="O1012" s="168"/>
    </row>
    <row r="1013">
      <c r="B1013" s="90"/>
      <c r="C1013" s="90"/>
      <c r="E1013" s="166"/>
      <c r="J1013" s="163"/>
      <c r="L1013" s="163"/>
      <c r="N1013" s="167"/>
      <c r="O1013" s="168"/>
    </row>
    <row r="1014">
      <c r="B1014" s="90"/>
      <c r="C1014" s="90"/>
      <c r="E1014" s="166"/>
      <c r="J1014" s="163"/>
      <c r="L1014" s="163"/>
      <c r="N1014" s="167"/>
      <c r="O1014" s="168"/>
    </row>
    <row r="1015">
      <c r="B1015" s="90"/>
      <c r="C1015" s="90"/>
      <c r="E1015" s="166"/>
      <c r="J1015" s="163"/>
      <c r="L1015" s="163"/>
      <c r="N1015" s="167"/>
      <c r="O1015" s="168"/>
    </row>
    <row r="1016">
      <c r="B1016" s="90"/>
      <c r="C1016" s="90"/>
      <c r="E1016" s="166"/>
      <c r="J1016" s="163"/>
      <c r="L1016" s="163"/>
      <c r="N1016" s="167"/>
      <c r="O1016" s="168"/>
    </row>
    <row r="1017">
      <c r="B1017" s="90"/>
      <c r="C1017" s="90"/>
      <c r="E1017" s="166"/>
      <c r="J1017" s="163"/>
      <c r="L1017" s="163"/>
      <c r="N1017" s="167"/>
      <c r="O1017" s="168"/>
    </row>
    <row r="1018">
      <c r="B1018" s="90"/>
      <c r="C1018" s="90"/>
      <c r="E1018" s="166"/>
      <c r="J1018" s="163"/>
      <c r="L1018" s="163"/>
      <c r="N1018" s="167"/>
      <c r="O1018" s="168"/>
    </row>
    <row r="1019">
      <c r="B1019" s="90"/>
      <c r="C1019" s="90"/>
      <c r="E1019" s="166"/>
      <c r="J1019" s="163"/>
      <c r="L1019" s="163"/>
      <c r="N1019" s="167"/>
      <c r="O1019" s="168"/>
    </row>
    <row r="1020">
      <c r="B1020" s="90"/>
      <c r="C1020" s="90"/>
      <c r="E1020" s="166"/>
      <c r="J1020" s="163"/>
      <c r="L1020" s="163"/>
      <c r="N1020" s="167"/>
      <c r="O1020" s="168"/>
    </row>
    <row r="1021">
      <c r="B1021" s="90"/>
      <c r="C1021" s="90"/>
      <c r="E1021" s="166"/>
      <c r="J1021" s="163"/>
      <c r="L1021" s="163"/>
      <c r="N1021" s="167"/>
      <c r="O1021" s="168"/>
    </row>
    <row r="1022">
      <c r="B1022" s="90"/>
      <c r="C1022" s="90"/>
      <c r="E1022" s="166"/>
      <c r="J1022" s="163"/>
      <c r="L1022" s="163"/>
      <c r="N1022" s="167"/>
      <c r="O1022" s="168"/>
    </row>
    <row r="1023">
      <c r="B1023" s="90"/>
      <c r="C1023" s="90"/>
      <c r="E1023" s="166"/>
      <c r="J1023" s="163"/>
      <c r="L1023" s="163"/>
      <c r="N1023" s="167"/>
      <c r="O1023" s="168"/>
    </row>
    <row r="1024">
      <c r="B1024" s="90"/>
      <c r="C1024" s="90"/>
      <c r="E1024" s="166"/>
      <c r="J1024" s="163"/>
      <c r="L1024" s="163"/>
      <c r="N1024" s="167"/>
      <c r="O1024" s="168"/>
    </row>
    <row r="1025">
      <c r="B1025" s="90"/>
      <c r="C1025" s="90"/>
      <c r="E1025" s="166"/>
      <c r="J1025" s="163"/>
      <c r="L1025" s="163"/>
      <c r="N1025" s="167"/>
      <c r="O1025" s="168"/>
    </row>
    <row r="1026">
      <c r="B1026" s="90"/>
      <c r="C1026" s="90"/>
      <c r="E1026" s="166"/>
      <c r="J1026" s="163"/>
      <c r="L1026" s="163"/>
      <c r="N1026" s="167"/>
      <c r="O1026" s="168"/>
    </row>
    <row r="1027">
      <c r="B1027" s="90"/>
      <c r="C1027" s="90"/>
      <c r="E1027" s="166"/>
      <c r="J1027" s="163"/>
      <c r="L1027" s="163"/>
      <c r="N1027" s="167"/>
      <c r="O1027" s="168"/>
    </row>
    <row r="1028">
      <c r="B1028" s="90"/>
      <c r="C1028" s="90"/>
      <c r="E1028" s="166"/>
      <c r="J1028" s="163"/>
      <c r="L1028" s="163"/>
      <c r="N1028" s="167"/>
      <c r="O1028" s="168"/>
    </row>
    <row r="1029">
      <c r="B1029" s="90"/>
      <c r="C1029" s="90"/>
      <c r="E1029" s="166"/>
      <c r="J1029" s="163"/>
      <c r="L1029" s="169"/>
      <c r="M1029" s="170"/>
      <c r="N1029" s="167"/>
      <c r="O1029" s="168"/>
    </row>
  </sheetData>
  <mergeCells count="8">
    <mergeCell ref="B1:C1"/>
    <mergeCell ref="D1:E1"/>
    <mergeCell ref="F1:G1"/>
    <mergeCell ref="H1:I1"/>
    <mergeCell ref="J1:K1"/>
    <mergeCell ref="L1:M1"/>
    <mergeCell ref="N1:O1"/>
    <mergeCell ref="P1:Q1"/>
  </mergeCells>
  <conditionalFormatting sqref="W3:W6 A5:U6">
    <cfRule type="cellIs" dxfId="2" priority="1" operator="lessThan">
      <formula>0</formula>
    </cfRule>
  </conditionalFormatting>
  <conditionalFormatting sqref="W3:W6 A5:U6">
    <cfRule type="cellIs" dxfId="3" priority="2" operator="greaterThan">
      <formula>0</formula>
    </cfRule>
  </conditionalFormatting>
  <conditionalFormatting sqref="A3:AD4">
    <cfRule type="cellIs" dxfId="2" priority="3" operator="lessThan">
      <formula>0</formula>
    </cfRule>
  </conditionalFormatting>
  <conditionalFormatting sqref="A3:AD4">
    <cfRule type="cellIs" dxfId="3" priority="4" operator="greaterThan">
      <formula>0</formula>
    </cfRule>
  </conditionalFormatting>
  <conditionalFormatting sqref="E14:E59 C15:C18 G15:G18 I15:I18 K15:K18 M15:M18 O15:O18 Q15:Q18 C22 G22 I22 K22 M22 O22 Q22 C31 G31 I31 K31 M31 O31 Q31 C33 G33 I33 K33 M33 O33 Q33 C42:C45 G42:G45 I42:I45 K42:K45 M42:M45 O42:O45 Q42:Q45">
    <cfRule type="cellIs" dxfId="4" priority="5" operator="greaterThan">
      <formula>D14:D59</formula>
    </cfRule>
  </conditionalFormatting>
  <conditionalFormatting sqref="C14:C60 G14:G75 I14:I75 K14:K75 M14:M75 O14:O75 Q14:Q75 E16">
    <cfRule type="cellIs" dxfId="4" priority="6" operator="greaterThan">
      <formula>B14:B60</formula>
    </cfRule>
  </conditionalFormatting>
  <conditionalFormatting sqref="V6">
    <cfRule type="notContainsBlanks" dxfId="5" priority="7">
      <formula>LEN(TRIM(V6))&gt;0</formula>
    </cfRule>
  </conditionalFormatting>
  <conditionalFormatting sqref="Q10">
    <cfRule type="notContainsBlanks" dxfId="5" priority="8">
      <formula>LEN(TRIM(Q10))&gt;0</formula>
    </cfRule>
  </conditionalFormatting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75"/>
  <cols>
    <col customWidth="1" hidden="1" min="1" max="1" width="15.67"/>
    <col customWidth="1" min="2" max="2" width="14.89"/>
  </cols>
  <sheetData>
    <row r="1">
      <c r="C1" s="175">
        <v>43739.0</v>
      </c>
      <c r="D1" s="176"/>
      <c r="E1" s="177"/>
      <c r="F1" s="175">
        <v>43770.0</v>
      </c>
      <c r="G1" s="176"/>
      <c r="H1" s="177"/>
      <c r="I1" s="175">
        <v>43800.0</v>
      </c>
      <c r="J1" s="176"/>
      <c r="K1" s="177"/>
      <c r="L1" s="175">
        <v>43831.0</v>
      </c>
      <c r="M1" s="176"/>
      <c r="N1" s="177"/>
      <c r="O1" s="175">
        <v>43863.0</v>
      </c>
      <c r="P1" s="176"/>
      <c r="Q1" s="177"/>
    </row>
    <row r="2">
      <c r="A2" s="178" t="s">
        <v>132</v>
      </c>
      <c r="B2" s="179"/>
      <c r="C2" s="180" t="s">
        <v>85</v>
      </c>
      <c r="D2" s="181" t="s">
        <v>133</v>
      </c>
      <c r="E2" s="182" t="s">
        <v>134</v>
      </c>
      <c r="F2" s="180" t="s">
        <v>85</v>
      </c>
      <c r="G2" s="181" t="s">
        <v>133</v>
      </c>
      <c r="H2" s="182" t="s">
        <v>134</v>
      </c>
      <c r="I2" s="180" t="s">
        <v>85</v>
      </c>
      <c r="J2" s="181" t="s">
        <v>133</v>
      </c>
      <c r="K2" s="182" t="s">
        <v>134</v>
      </c>
      <c r="L2" s="180" t="s">
        <v>85</v>
      </c>
      <c r="M2" s="181" t="s">
        <v>133</v>
      </c>
      <c r="N2" s="182" t="s">
        <v>134</v>
      </c>
      <c r="O2" s="180" t="s">
        <v>85</v>
      </c>
      <c r="P2" s="181" t="s">
        <v>133</v>
      </c>
      <c r="Q2" s="182" t="s">
        <v>134</v>
      </c>
    </row>
    <row r="3">
      <c r="B3" s="2" t="s">
        <v>3</v>
      </c>
      <c r="C3" s="167">
        <v>3276.28</v>
      </c>
      <c r="D3" s="2">
        <v>3939.0</v>
      </c>
      <c r="E3" s="168">
        <f t="shared" ref="E3:E8" si="1">D3-C3</f>
        <v>662.72</v>
      </c>
      <c r="F3" s="167">
        <v>3276.28</v>
      </c>
      <c r="G3" s="2">
        <v>3276.28</v>
      </c>
      <c r="H3" s="168">
        <f t="shared" ref="H3:H8" si="2">G3-F3</f>
        <v>0</v>
      </c>
      <c r="I3" s="167">
        <v>3276.28</v>
      </c>
      <c r="J3" s="2">
        <v>3308.34</v>
      </c>
      <c r="K3" s="168">
        <f t="shared" ref="K3:K8" si="3">J3-I3</f>
        <v>32.06</v>
      </c>
      <c r="L3" s="167">
        <v>3276.28</v>
      </c>
      <c r="M3" s="183">
        <f>818.3*4</f>
        <v>3273.2</v>
      </c>
      <c r="N3" s="168">
        <f t="shared" ref="N3:N8" si="4">M3-L3</f>
        <v>-3.08</v>
      </c>
      <c r="O3" s="167">
        <f>'Budget Courant'!$C5</f>
        <v>3673.32</v>
      </c>
      <c r="P3" s="2">
        <v>3276.2</v>
      </c>
      <c r="Q3" s="168">
        <f t="shared" ref="Q3:Q8" si="5">P3-O3</f>
        <v>-397.12</v>
      </c>
    </row>
    <row r="4">
      <c r="B4" s="2" t="s">
        <v>4</v>
      </c>
      <c r="C4" s="167">
        <v>1404.0</v>
      </c>
      <c r="D4" s="2">
        <v>1313.0</v>
      </c>
      <c r="E4" s="168">
        <f t="shared" si="1"/>
        <v>-91</v>
      </c>
      <c r="F4" s="184">
        <v>1304.0</v>
      </c>
      <c r="G4" s="2">
        <v>0.0</v>
      </c>
      <c r="H4" s="168">
        <f t="shared" si="2"/>
        <v>-1304</v>
      </c>
      <c r="I4" s="184">
        <v>1304.0</v>
      </c>
      <c r="J4" s="2">
        <v>0.0</v>
      </c>
      <c r="K4" s="168">
        <f t="shared" si="3"/>
        <v>-1304</v>
      </c>
      <c r="L4" s="167">
        <v>1304.0</v>
      </c>
      <c r="M4" s="2">
        <v>1956.0</v>
      </c>
      <c r="N4" s="168">
        <f t="shared" si="4"/>
        <v>652</v>
      </c>
      <c r="O4" s="167">
        <f>'Budget Courant'!$C6</f>
        <v>2123</v>
      </c>
      <c r="P4" s="2">
        <v>1308.0</v>
      </c>
      <c r="Q4" s="168">
        <f t="shared" si="5"/>
        <v>-815</v>
      </c>
    </row>
    <row r="5">
      <c r="B5" s="2" t="s">
        <v>6</v>
      </c>
      <c r="C5" s="167">
        <v>330.0</v>
      </c>
      <c r="D5" s="2">
        <v>330.0</v>
      </c>
      <c r="E5" s="168">
        <f t="shared" si="1"/>
        <v>0</v>
      </c>
      <c r="F5" s="167">
        <v>330.0</v>
      </c>
      <c r="G5" s="2">
        <v>330.0</v>
      </c>
      <c r="H5" s="168">
        <f t="shared" si="2"/>
        <v>0</v>
      </c>
      <c r="I5" s="167">
        <v>330.0</v>
      </c>
      <c r="J5" s="2">
        <v>0.0</v>
      </c>
      <c r="K5" s="168">
        <f t="shared" si="3"/>
        <v>-330</v>
      </c>
      <c r="L5" s="167">
        <v>330.0</v>
      </c>
      <c r="M5" s="2">
        <v>630.0</v>
      </c>
      <c r="N5" s="168">
        <f t="shared" si="4"/>
        <v>300</v>
      </c>
      <c r="O5" s="167">
        <f>'Budget Courant'!$C8</f>
        <v>300</v>
      </c>
      <c r="P5" s="2">
        <v>0.0</v>
      </c>
      <c r="Q5" s="168">
        <f t="shared" si="5"/>
        <v>-300</v>
      </c>
    </row>
    <row r="6">
      <c r="B6" s="2" t="s">
        <v>101</v>
      </c>
      <c r="C6" s="167">
        <v>445.1</v>
      </c>
      <c r="D6" s="2">
        <v>445.1</v>
      </c>
      <c r="E6" s="168">
        <f t="shared" si="1"/>
        <v>0</v>
      </c>
      <c r="F6" s="167">
        <v>445.1</v>
      </c>
      <c r="G6" s="2">
        <v>445.1</v>
      </c>
      <c r="H6" s="168">
        <f t="shared" si="2"/>
        <v>0</v>
      </c>
      <c r="I6" s="167">
        <v>445.1</v>
      </c>
      <c r="J6" s="2">
        <v>445.1</v>
      </c>
      <c r="K6" s="168">
        <f t="shared" si="3"/>
        <v>0</v>
      </c>
      <c r="L6" s="167">
        <v>409.6</v>
      </c>
      <c r="M6" s="185">
        <v>409.6</v>
      </c>
      <c r="N6" s="168">
        <f t="shared" si="4"/>
        <v>0</v>
      </c>
      <c r="O6" s="167" t="str">
        <f>'Budget Courant'!$C7</f>
        <v/>
      </c>
      <c r="P6" s="2">
        <v>409.6</v>
      </c>
      <c r="Q6" s="168">
        <f t="shared" si="5"/>
        <v>409.6</v>
      </c>
    </row>
    <row r="7">
      <c r="B7" s="2" t="s">
        <v>1</v>
      </c>
      <c r="C7" s="167"/>
      <c r="E7" s="168">
        <f t="shared" si="1"/>
        <v>0</v>
      </c>
      <c r="F7" s="167"/>
      <c r="G7" s="2">
        <f>803.5+476+1000+100</f>
        <v>2379.5</v>
      </c>
      <c r="H7" s="168">
        <f t="shared" si="2"/>
        <v>2379.5</v>
      </c>
      <c r="I7" s="167"/>
      <c r="J7" s="2">
        <f>985+476</f>
        <v>1461</v>
      </c>
      <c r="K7" s="168">
        <f t="shared" si="3"/>
        <v>1461</v>
      </c>
      <c r="L7" s="167"/>
      <c r="M7" s="2">
        <v>480.0</v>
      </c>
      <c r="N7" s="168">
        <f t="shared" si="4"/>
        <v>480</v>
      </c>
      <c r="O7" s="167"/>
      <c r="P7" s="2">
        <v>146.0</v>
      </c>
      <c r="Q7" s="168">
        <f t="shared" si="5"/>
        <v>146</v>
      </c>
    </row>
    <row r="8">
      <c r="B8" s="186" t="s">
        <v>68</v>
      </c>
      <c r="C8" s="187">
        <f t="shared" ref="C8:D8" si="6">SUM(C3:C7)</f>
        <v>5455.38</v>
      </c>
      <c r="D8" s="188">
        <f t="shared" si="6"/>
        <v>6027.1</v>
      </c>
      <c r="E8" s="189">
        <f t="shared" si="1"/>
        <v>571.72</v>
      </c>
      <c r="F8" s="187">
        <f t="shared" ref="F8:G8" si="7">SUM(F3:F7)</f>
        <v>5355.38</v>
      </c>
      <c r="G8" s="188">
        <f t="shared" si="7"/>
        <v>6430.88</v>
      </c>
      <c r="H8" s="189">
        <f t="shared" si="2"/>
        <v>1075.5</v>
      </c>
      <c r="I8" s="187">
        <f t="shared" ref="I8:J8" si="8">SUM(I3:I7)</f>
        <v>5355.38</v>
      </c>
      <c r="J8" s="188">
        <f t="shared" si="8"/>
        <v>5214.44</v>
      </c>
      <c r="K8" s="189">
        <f t="shared" si="3"/>
        <v>-140.94</v>
      </c>
      <c r="L8" s="187">
        <f t="shared" ref="L8:M8" si="9">SUM(L3:L7)</f>
        <v>5319.88</v>
      </c>
      <c r="M8" s="188">
        <f t="shared" si="9"/>
        <v>6748.8</v>
      </c>
      <c r="N8" s="189">
        <f t="shared" si="4"/>
        <v>1428.92</v>
      </c>
      <c r="O8" s="187">
        <f t="shared" ref="O8:P8" si="10">SUM(O3:O7)</f>
        <v>6096.32</v>
      </c>
      <c r="P8" s="188">
        <f t="shared" si="10"/>
        <v>5139.8</v>
      </c>
      <c r="Q8" s="189">
        <f t="shared" si="5"/>
        <v>-956.52</v>
      </c>
    </row>
    <row r="9">
      <c r="A9" s="190" t="s">
        <v>135</v>
      </c>
      <c r="B9" s="13"/>
      <c r="C9" s="191"/>
      <c r="D9" s="179"/>
      <c r="E9" s="192"/>
      <c r="F9" s="191"/>
      <c r="G9" s="179"/>
      <c r="H9" s="192"/>
      <c r="I9" s="191"/>
      <c r="J9" s="179"/>
      <c r="K9" s="192"/>
      <c r="L9" s="191"/>
      <c r="M9" s="179"/>
      <c r="N9" s="192"/>
      <c r="O9" s="191"/>
      <c r="P9" s="179"/>
      <c r="Q9" s="192"/>
    </row>
    <row r="10">
      <c r="B10" s="2" t="s">
        <v>23</v>
      </c>
      <c r="C10" s="167">
        <v>1025.08</v>
      </c>
      <c r="D10" s="2">
        <v>1025.08</v>
      </c>
      <c r="E10" s="168">
        <f t="shared" ref="E10:E30" si="11">C10-D10</f>
        <v>0</v>
      </c>
      <c r="F10" s="167">
        <v>1025.08</v>
      </c>
      <c r="G10" s="2">
        <v>1025.08</v>
      </c>
      <c r="H10" s="168">
        <f t="shared" ref="H10:H33" si="12">if(ISNUMBER(G10), F10-G10,"TBD")</f>
        <v>0</v>
      </c>
      <c r="I10" s="167">
        <v>1025.08</v>
      </c>
      <c r="J10" s="2">
        <v>1015.0</v>
      </c>
      <c r="K10" s="168">
        <f t="shared" ref="K10:K33" si="13">if(ISNUMBER(J10), I10-J10,"TBD")</f>
        <v>10.08</v>
      </c>
      <c r="L10" s="167">
        <v>1025.08</v>
      </c>
      <c r="M10" s="52">
        <v>1025.0</v>
      </c>
      <c r="N10" s="193">
        <f t="shared" ref="N10:N33" si="14">if(ISNUMBER(M10), L10-M10,"TBD")</f>
        <v>0.08</v>
      </c>
      <c r="O10" s="167">
        <f>'Budget Courant'!$C13</f>
        <v>1043.33</v>
      </c>
      <c r="P10" s="52">
        <v>1014.0</v>
      </c>
      <c r="Q10" s="193">
        <f t="shared" ref="Q10:Q33" si="15">if(ISNUMBER(P10), O10-P10,"TBD")</f>
        <v>29.33</v>
      </c>
    </row>
    <row r="11">
      <c r="B11" s="2" t="s">
        <v>136</v>
      </c>
      <c r="C11" s="167">
        <v>143.23000000000002</v>
      </c>
      <c r="D11" s="2">
        <v>143.23</v>
      </c>
      <c r="E11" s="168">
        <f t="shared" si="11"/>
        <v>0</v>
      </c>
      <c r="F11" s="167">
        <v>143.23000000000002</v>
      </c>
      <c r="G11" s="2">
        <v>143.23</v>
      </c>
      <c r="H11" s="168">
        <f t="shared" si="12"/>
        <v>0</v>
      </c>
      <c r="I11" s="167">
        <v>143.23000000000002</v>
      </c>
      <c r="J11" s="2">
        <v>150.51</v>
      </c>
      <c r="K11" s="168">
        <f t="shared" si="13"/>
        <v>-7.28</v>
      </c>
      <c r="L11" s="167">
        <v>143.23000000000002</v>
      </c>
      <c r="M11" s="2">
        <f>126.92+32.42</f>
        <v>159.34</v>
      </c>
      <c r="N11" s="168">
        <f t="shared" si="14"/>
        <v>-16.11</v>
      </c>
      <c r="O11" s="167">
        <f>'Budget Courant'!$C17</f>
        <v>181.1</v>
      </c>
      <c r="P11" s="183">
        <f>127.09+32.42</f>
        <v>159.51</v>
      </c>
      <c r="Q11" s="168">
        <f t="shared" si="15"/>
        <v>21.59</v>
      </c>
    </row>
    <row r="12">
      <c r="B12" s="2" t="s">
        <v>137</v>
      </c>
      <c r="C12" s="167">
        <v>706.5999999999999</v>
      </c>
      <c r="D12" s="2">
        <v>1028.15</v>
      </c>
      <c r="E12" s="168">
        <f t="shared" si="11"/>
        <v>-321.55</v>
      </c>
      <c r="F12" s="167">
        <v>706.5999999999999</v>
      </c>
      <c r="G12" s="2">
        <v>706.6</v>
      </c>
      <c r="H12" s="168">
        <f t="shared" si="12"/>
        <v>0</v>
      </c>
      <c r="I12" s="167">
        <v>706.5999999999999</v>
      </c>
      <c r="J12" s="2">
        <v>706.6</v>
      </c>
      <c r="K12" s="168">
        <f t="shared" si="13"/>
        <v>0</v>
      </c>
      <c r="L12" s="167">
        <v>706.5999999999999</v>
      </c>
      <c r="M12" s="2">
        <v>921.27</v>
      </c>
      <c r="N12" s="168">
        <f t="shared" si="14"/>
        <v>-214.67</v>
      </c>
      <c r="O12" s="167" t="str">
        <f>'Budget Courant'!$C23+#REF!</f>
        <v>#REF!</v>
      </c>
      <c r="P12" s="183">
        <f>214.67+214.67+277.26</f>
        <v>706.6</v>
      </c>
      <c r="Q12" s="168" t="str">
        <f t="shared" si="15"/>
        <v>#REF!</v>
      </c>
    </row>
    <row r="13">
      <c r="B13" s="2" t="s">
        <v>138</v>
      </c>
      <c r="C13" s="167">
        <v>148.73000000000002</v>
      </c>
      <c r="D13" s="2">
        <v>148.73</v>
      </c>
      <c r="E13" s="168">
        <f t="shared" si="11"/>
        <v>0</v>
      </c>
      <c r="F13" s="167">
        <v>148.73000000000002</v>
      </c>
      <c r="G13" s="2">
        <v>148.73</v>
      </c>
      <c r="H13" s="168">
        <f t="shared" si="12"/>
        <v>0</v>
      </c>
      <c r="I13" s="167">
        <v>148.73000000000002</v>
      </c>
      <c r="J13" s="2">
        <v>170.78</v>
      </c>
      <c r="K13" s="168">
        <f t="shared" si="13"/>
        <v>-22.05</v>
      </c>
      <c r="L13" s="167">
        <v>148.73000000000002</v>
      </c>
      <c r="M13" s="2">
        <v>148.73</v>
      </c>
      <c r="N13" s="168">
        <f t="shared" si="14"/>
        <v>0</v>
      </c>
      <c r="O13" s="167">
        <f>'Budget Courant'!$K13</f>
        <v>175.23</v>
      </c>
      <c r="P13" s="2">
        <v>148.73</v>
      </c>
      <c r="Q13" s="168">
        <f t="shared" si="15"/>
        <v>26.5</v>
      </c>
    </row>
    <row r="14">
      <c r="B14" s="2" t="s">
        <v>139</v>
      </c>
      <c r="C14" s="167">
        <v>65.36</v>
      </c>
      <c r="D14" s="2">
        <v>65.36</v>
      </c>
      <c r="E14" s="168">
        <f t="shared" si="11"/>
        <v>0</v>
      </c>
      <c r="F14" s="167">
        <v>65.36</v>
      </c>
      <c r="G14" s="2">
        <v>0.0</v>
      </c>
      <c r="H14" s="168">
        <f t="shared" si="12"/>
        <v>65.36</v>
      </c>
      <c r="I14" s="167">
        <v>79.86</v>
      </c>
      <c r="J14" s="2">
        <v>156.84</v>
      </c>
      <c r="K14" s="168">
        <f t="shared" si="13"/>
        <v>-76.98</v>
      </c>
      <c r="L14" s="167">
        <v>79.86</v>
      </c>
      <c r="M14" s="2">
        <v>79.86</v>
      </c>
      <c r="N14" s="168">
        <f t="shared" si="14"/>
        <v>0</v>
      </c>
      <c r="O14" s="167">
        <f>'Budget Courant'!$K15</f>
        <v>62.64</v>
      </c>
      <c r="P14" s="2">
        <v>306.31</v>
      </c>
      <c r="Q14" s="168">
        <f t="shared" si="15"/>
        <v>-243.67</v>
      </c>
    </row>
    <row r="15">
      <c r="B15" s="2" t="s">
        <v>140</v>
      </c>
      <c r="C15" s="167">
        <v>155.64000000000001</v>
      </c>
      <c r="D15" s="2">
        <v>155.64</v>
      </c>
      <c r="E15" s="168">
        <f t="shared" si="11"/>
        <v>0</v>
      </c>
      <c r="F15" s="167">
        <v>155.64000000000001</v>
      </c>
      <c r="G15" s="2">
        <v>155.64</v>
      </c>
      <c r="H15" s="168">
        <f t="shared" si="12"/>
        <v>0</v>
      </c>
      <c r="I15" s="167">
        <v>155.64000000000001</v>
      </c>
      <c r="J15" s="2">
        <v>155.64</v>
      </c>
      <c r="K15" s="168">
        <f t="shared" si="13"/>
        <v>0</v>
      </c>
      <c r="L15" s="167">
        <v>155.64000000000001</v>
      </c>
      <c r="M15" s="183">
        <f>118.01+37.63</f>
        <v>155.64</v>
      </c>
      <c r="N15" s="168">
        <f t="shared" si="14"/>
        <v>0</v>
      </c>
      <c r="O15" s="167">
        <f>'Budget Courant'!$G13</f>
        <v>118.01</v>
      </c>
      <c r="P15" s="2">
        <v>118.01</v>
      </c>
      <c r="Q15" s="168">
        <f t="shared" si="15"/>
        <v>0</v>
      </c>
    </row>
    <row r="16">
      <c r="B16" s="2" t="s">
        <v>141</v>
      </c>
      <c r="C16" s="167">
        <v>34.949999999999996</v>
      </c>
      <c r="D16" s="2">
        <v>34.95</v>
      </c>
      <c r="E16" s="168">
        <f t="shared" si="11"/>
        <v>0</v>
      </c>
      <c r="F16" s="167">
        <v>34.949999999999996</v>
      </c>
      <c r="G16" s="2">
        <v>34.95</v>
      </c>
      <c r="H16" s="168">
        <f t="shared" si="12"/>
        <v>0</v>
      </c>
      <c r="I16" s="167">
        <v>34.949999999999996</v>
      </c>
      <c r="J16" s="2">
        <v>34.95</v>
      </c>
      <c r="K16" s="168">
        <f t="shared" si="13"/>
        <v>0</v>
      </c>
      <c r="L16" s="167">
        <v>34.949999999999996</v>
      </c>
      <c r="M16" s="2">
        <v>34.95</v>
      </c>
      <c r="N16" s="168">
        <f t="shared" si="14"/>
        <v>0</v>
      </c>
      <c r="O16" s="167">
        <f>'Budget Courant'!$G16</f>
        <v>67.79</v>
      </c>
      <c r="P16" s="183">
        <f>3.07+15.39+16.49</f>
        <v>34.95</v>
      </c>
      <c r="Q16" s="168">
        <f t="shared" si="15"/>
        <v>32.84</v>
      </c>
    </row>
    <row r="17">
      <c r="B17" s="2" t="s">
        <v>142</v>
      </c>
      <c r="C17" s="167">
        <v>31.02</v>
      </c>
      <c r="D17" s="2">
        <v>31.02</v>
      </c>
      <c r="E17" s="168">
        <f t="shared" si="11"/>
        <v>0</v>
      </c>
      <c r="F17" s="167">
        <v>31.02</v>
      </c>
      <c r="G17" s="2">
        <v>31.02</v>
      </c>
      <c r="H17" s="168">
        <f t="shared" si="12"/>
        <v>0</v>
      </c>
      <c r="I17" s="167">
        <v>31.02</v>
      </c>
      <c r="J17" s="2">
        <v>31.02</v>
      </c>
      <c r="K17" s="168">
        <f t="shared" si="13"/>
        <v>0</v>
      </c>
      <c r="L17" s="167">
        <v>31.02</v>
      </c>
      <c r="M17" s="2">
        <v>31.02</v>
      </c>
      <c r="N17" s="168">
        <f t="shared" si="14"/>
        <v>0</v>
      </c>
      <c r="O17" s="167">
        <f>'Budget Courant'!$O15</f>
        <v>31.02</v>
      </c>
      <c r="P17" s="2">
        <v>31.02</v>
      </c>
      <c r="Q17" s="168">
        <f t="shared" si="15"/>
        <v>0</v>
      </c>
    </row>
    <row r="18">
      <c r="B18" s="2" t="s">
        <v>101</v>
      </c>
      <c r="C18" s="184">
        <v>680.0</v>
      </c>
      <c r="D18" s="2">
        <v>680.0</v>
      </c>
      <c r="E18" s="168">
        <f t="shared" si="11"/>
        <v>0</v>
      </c>
      <c r="F18" s="167">
        <v>680.0</v>
      </c>
      <c r="G18" s="2">
        <v>680.0</v>
      </c>
      <c r="H18" s="168">
        <f t="shared" si="12"/>
        <v>0</v>
      </c>
      <c r="I18" s="167">
        <v>680.0</v>
      </c>
      <c r="J18" s="2">
        <v>680.0</v>
      </c>
      <c r="K18" s="168">
        <f t="shared" si="13"/>
        <v>0</v>
      </c>
      <c r="L18" s="167">
        <v>680.0</v>
      </c>
      <c r="M18" s="183">
        <f>160*5</f>
        <v>800</v>
      </c>
      <c r="N18" s="168">
        <f t="shared" si="14"/>
        <v>-120</v>
      </c>
      <c r="O18" s="167">
        <f>'Budget Courant'!$O19</f>
        <v>170</v>
      </c>
      <c r="P18" s="183">
        <f>(160*4)-64</f>
        <v>576</v>
      </c>
      <c r="Q18" s="168">
        <f t="shared" si="15"/>
        <v>-406</v>
      </c>
    </row>
    <row r="19">
      <c r="B19" s="2" t="s">
        <v>143</v>
      </c>
      <c r="C19" s="167">
        <v>40.0</v>
      </c>
      <c r="D19" s="2">
        <v>0.0</v>
      </c>
      <c r="E19" s="168">
        <f t="shared" si="11"/>
        <v>40</v>
      </c>
      <c r="F19" s="167">
        <v>40.0</v>
      </c>
      <c r="G19" s="2">
        <v>40.0</v>
      </c>
      <c r="H19" s="168">
        <f t="shared" si="12"/>
        <v>0</v>
      </c>
      <c r="I19" s="167">
        <v>40.0</v>
      </c>
      <c r="J19" s="2">
        <v>40.0</v>
      </c>
      <c r="K19" s="168">
        <f t="shared" si="13"/>
        <v>0</v>
      </c>
      <c r="L19" s="167">
        <v>40.0</v>
      </c>
      <c r="M19" s="2">
        <v>40.0</v>
      </c>
      <c r="N19" s="168">
        <f t="shared" si="14"/>
        <v>0</v>
      </c>
      <c r="O19" s="167">
        <f>'Budget Courant'!$C25+'Budget Courant'!$C26</f>
        <v>45</v>
      </c>
      <c r="P19" s="2">
        <v>227.57</v>
      </c>
      <c r="Q19" s="168">
        <f t="shared" si="15"/>
        <v>-182.57</v>
      </c>
    </row>
    <row r="20">
      <c r="B20" s="2" t="s">
        <v>38</v>
      </c>
      <c r="C20" s="167">
        <v>400.0</v>
      </c>
      <c r="D20" s="2">
        <v>321.55</v>
      </c>
      <c r="E20" s="168">
        <f t="shared" si="11"/>
        <v>78.45</v>
      </c>
      <c r="F20" s="167">
        <v>400.0</v>
      </c>
      <c r="G20" s="2">
        <v>349.01</v>
      </c>
      <c r="H20" s="168">
        <f t="shared" si="12"/>
        <v>50.99</v>
      </c>
      <c r="I20" s="167">
        <v>400.0</v>
      </c>
      <c r="J20" s="2">
        <v>388.33</v>
      </c>
      <c r="K20" s="168">
        <f t="shared" si="13"/>
        <v>11.67</v>
      </c>
      <c r="L20" s="167">
        <v>400.0</v>
      </c>
      <c r="M20" s="2">
        <v>352.36</v>
      </c>
      <c r="N20" s="168">
        <f t="shared" si="14"/>
        <v>47.64</v>
      </c>
      <c r="O20" s="167">
        <f>'Budget Courant'!$C24</f>
        <v>400</v>
      </c>
      <c r="P20" s="2">
        <v>265.23</v>
      </c>
      <c r="Q20" s="168">
        <f t="shared" si="15"/>
        <v>134.77</v>
      </c>
    </row>
    <row r="21">
      <c r="B21" s="2" t="s">
        <v>144</v>
      </c>
      <c r="C21" s="167">
        <v>40.0</v>
      </c>
      <c r="D21" s="2">
        <v>38.79</v>
      </c>
      <c r="E21" s="168">
        <f t="shared" si="11"/>
        <v>1.21</v>
      </c>
      <c r="F21" s="167">
        <v>40.0</v>
      </c>
      <c r="G21" s="2">
        <v>51.16</v>
      </c>
      <c r="H21" s="168">
        <f t="shared" si="12"/>
        <v>-11.16</v>
      </c>
      <c r="I21" s="167">
        <v>40.0</v>
      </c>
      <c r="J21" s="2">
        <v>30.21</v>
      </c>
      <c r="K21" s="168">
        <f t="shared" si="13"/>
        <v>9.79</v>
      </c>
      <c r="L21" s="167">
        <v>40.0</v>
      </c>
      <c r="M21" s="2">
        <f>13.38+17.44</f>
        <v>30.82</v>
      </c>
      <c r="N21" s="168">
        <f t="shared" si="14"/>
        <v>9.18</v>
      </c>
      <c r="O21" s="167">
        <f>'Budget Courant'!$G23</f>
        <v>40</v>
      </c>
      <c r="P21" s="2">
        <v>35.64</v>
      </c>
      <c r="Q21" s="168">
        <f t="shared" si="15"/>
        <v>4.36</v>
      </c>
    </row>
    <row r="22">
      <c r="B22" s="2" t="s">
        <v>145</v>
      </c>
      <c r="C22" s="167">
        <v>600.0</v>
      </c>
      <c r="D22" s="2">
        <v>526.02</v>
      </c>
      <c r="E22" s="168">
        <f t="shared" si="11"/>
        <v>73.98</v>
      </c>
      <c r="F22" s="167">
        <v>600.0</v>
      </c>
      <c r="G22" s="2">
        <v>516.99</v>
      </c>
      <c r="H22" s="168">
        <f t="shared" si="12"/>
        <v>83.01</v>
      </c>
      <c r="I22" s="167">
        <v>600.0</v>
      </c>
      <c r="J22" s="2">
        <v>659.96</v>
      </c>
      <c r="K22" s="168">
        <f t="shared" si="13"/>
        <v>-59.96</v>
      </c>
      <c r="L22" s="167">
        <v>600.0</v>
      </c>
      <c r="M22" s="2">
        <v>291.28</v>
      </c>
      <c r="N22" s="168">
        <f t="shared" si="14"/>
        <v>308.72</v>
      </c>
      <c r="O22" s="167">
        <f>'Budget Courant'!$G25</f>
        <v>600</v>
      </c>
      <c r="P22" s="2">
        <v>387.47</v>
      </c>
      <c r="Q22" s="168">
        <f t="shared" si="15"/>
        <v>212.53</v>
      </c>
    </row>
    <row r="23">
      <c r="B23" s="2" t="s">
        <v>146</v>
      </c>
      <c r="C23" s="184">
        <v>100.0</v>
      </c>
      <c r="D23" s="2">
        <v>424.47</v>
      </c>
      <c r="E23" s="168">
        <f t="shared" si="11"/>
        <v>-324.47</v>
      </c>
      <c r="F23" s="184">
        <v>100.0</v>
      </c>
      <c r="G23" s="2">
        <v>242.13</v>
      </c>
      <c r="H23" s="168">
        <f t="shared" si="12"/>
        <v>-142.13</v>
      </c>
      <c r="I23" s="184">
        <v>100.0</v>
      </c>
      <c r="J23" s="2">
        <v>115.43</v>
      </c>
      <c r="K23" s="168">
        <f t="shared" si="13"/>
        <v>-15.43</v>
      </c>
      <c r="L23" s="184">
        <v>100.0</v>
      </c>
      <c r="M23" s="2">
        <v>149.31</v>
      </c>
      <c r="N23" s="168">
        <f t="shared" si="14"/>
        <v>-49.31</v>
      </c>
      <c r="O23" s="184">
        <f>'Budget Courant'!$K17</f>
        <v>200</v>
      </c>
      <c r="P23" s="183">
        <f>94.05+56.24+19.55+5.1</f>
        <v>174.94</v>
      </c>
      <c r="Q23" s="168">
        <f t="shared" si="15"/>
        <v>25.06</v>
      </c>
    </row>
    <row r="24">
      <c r="B24" s="2" t="s">
        <v>147</v>
      </c>
      <c r="C24" s="167">
        <v>50.0</v>
      </c>
      <c r="D24" s="2">
        <v>179.36</v>
      </c>
      <c r="E24" s="168">
        <f t="shared" si="11"/>
        <v>-129.36</v>
      </c>
      <c r="F24" s="167">
        <v>50.0</v>
      </c>
      <c r="G24" s="2">
        <v>44.28</v>
      </c>
      <c r="H24" s="168">
        <f t="shared" si="12"/>
        <v>5.72</v>
      </c>
      <c r="I24" s="167">
        <v>50.0</v>
      </c>
      <c r="J24" s="2">
        <v>73.15</v>
      </c>
      <c r="K24" s="168">
        <f t="shared" si="13"/>
        <v>-23.15</v>
      </c>
      <c r="L24" s="167">
        <v>50.0</v>
      </c>
      <c r="M24" s="2">
        <v>8.9</v>
      </c>
      <c r="N24" s="168">
        <f t="shared" si="14"/>
        <v>41.1</v>
      </c>
      <c r="O24" s="167">
        <f>'Budget Courant'!$O21</f>
        <v>100</v>
      </c>
      <c r="P24" s="2">
        <v>36.1</v>
      </c>
      <c r="Q24" s="168">
        <f t="shared" si="15"/>
        <v>63.9</v>
      </c>
    </row>
    <row r="25">
      <c r="B25" s="2" t="s">
        <v>109</v>
      </c>
      <c r="C25" s="167">
        <v>60.0</v>
      </c>
      <c r="D25" s="2">
        <v>154.88</v>
      </c>
      <c r="E25" s="168">
        <f t="shared" si="11"/>
        <v>-94.88</v>
      </c>
      <c r="F25" s="167">
        <v>60.0</v>
      </c>
      <c r="G25" s="2">
        <v>28.96</v>
      </c>
      <c r="H25" s="168">
        <f t="shared" si="12"/>
        <v>31.04</v>
      </c>
      <c r="I25" s="167">
        <v>60.0</v>
      </c>
      <c r="J25" s="2">
        <v>120.1</v>
      </c>
      <c r="K25" s="168">
        <f t="shared" si="13"/>
        <v>-60.1</v>
      </c>
      <c r="L25" s="167">
        <v>60.0</v>
      </c>
      <c r="M25" s="2">
        <v>22.91</v>
      </c>
      <c r="N25" s="168">
        <f t="shared" si="14"/>
        <v>37.09</v>
      </c>
      <c r="O25" s="167">
        <f>'Budget Courant'!$G27</f>
        <v>60</v>
      </c>
      <c r="P25" s="2">
        <v>47.33</v>
      </c>
      <c r="Q25" s="168">
        <f t="shared" si="15"/>
        <v>12.67</v>
      </c>
    </row>
    <row r="26">
      <c r="B26" s="2" t="s">
        <v>125</v>
      </c>
      <c r="C26" s="167">
        <v>100.0</v>
      </c>
      <c r="D26" s="2">
        <v>125.24</v>
      </c>
      <c r="E26" s="168">
        <f t="shared" si="11"/>
        <v>-25.24</v>
      </c>
      <c r="F26" s="167">
        <v>30.0</v>
      </c>
      <c r="G26" s="2">
        <v>48.85</v>
      </c>
      <c r="H26" s="168">
        <f t="shared" si="12"/>
        <v>-18.85</v>
      </c>
      <c r="I26" s="167">
        <v>30.0</v>
      </c>
      <c r="J26" s="2">
        <v>30.0</v>
      </c>
      <c r="K26" s="168">
        <f t="shared" si="13"/>
        <v>0</v>
      </c>
      <c r="L26" s="167">
        <v>30.0</v>
      </c>
      <c r="M26" s="2">
        <v>131.56</v>
      </c>
      <c r="N26" s="168">
        <f t="shared" si="14"/>
        <v>-101.56</v>
      </c>
      <c r="O26" s="167">
        <f>'Budget Courant'!$O13</f>
        <v>50</v>
      </c>
      <c r="P26" s="2">
        <v>49.58</v>
      </c>
      <c r="Q26" s="168">
        <f t="shared" si="15"/>
        <v>0.42</v>
      </c>
    </row>
    <row r="27">
      <c r="B27" s="2" t="s">
        <v>117</v>
      </c>
      <c r="C27" s="167">
        <f>'Budget Courant'!$K19</f>
        <v>30</v>
      </c>
      <c r="D27" s="2">
        <v>0.0</v>
      </c>
      <c r="E27" s="168">
        <f t="shared" si="11"/>
        <v>30</v>
      </c>
      <c r="F27" s="167">
        <v>30.0</v>
      </c>
      <c r="G27" s="2">
        <v>177.0</v>
      </c>
      <c r="H27" s="168">
        <f t="shared" si="12"/>
        <v>-147</v>
      </c>
      <c r="I27" s="167">
        <v>30.0</v>
      </c>
      <c r="J27" s="2">
        <v>30.0</v>
      </c>
      <c r="K27" s="168">
        <f t="shared" si="13"/>
        <v>0</v>
      </c>
      <c r="L27" s="167">
        <v>30.0</v>
      </c>
      <c r="M27" s="2">
        <v>30.0</v>
      </c>
      <c r="N27" s="168">
        <f t="shared" si="14"/>
        <v>0</v>
      </c>
      <c r="O27" s="167">
        <f>'Budget Courant'!$K19</f>
        <v>30</v>
      </c>
      <c r="P27" s="2">
        <v>30.0</v>
      </c>
      <c r="Q27" s="168">
        <f t="shared" si="15"/>
        <v>0</v>
      </c>
    </row>
    <row r="28">
      <c r="B28" s="2" t="s">
        <v>148</v>
      </c>
      <c r="C28" s="167">
        <v>100.0</v>
      </c>
      <c r="D28" s="2">
        <v>0.0</v>
      </c>
      <c r="E28" s="168">
        <f t="shared" si="11"/>
        <v>100</v>
      </c>
      <c r="F28" s="167">
        <v>100.0</v>
      </c>
      <c r="G28" s="2">
        <v>100.0</v>
      </c>
      <c r="H28" s="168">
        <f t="shared" si="12"/>
        <v>0</v>
      </c>
      <c r="I28" s="167">
        <v>100.0</v>
      </c>
      <c r="J28" s="2">
        <v>100.0</v>
      </c>
      <c r="K28" s="168">
        <f t="shared" si="13"/>
        <v>0</v>
      </c>
      <c r="L28" s="167">
        <v>100.0</v>
      </c>
      <c r="M28" s="2">
        <v>100.0</v>
      </c>
      <c r="N28" s="168">
        <f t="shared" si="14"/>
        <v>0</v>
      </c>
      <c r="O28" s="167">
        <f>'Budget Courant'!$O17</f>
        <v>25</v>
      </c>
      <c r="P28" s="2">
        <v>100.0</v>
      </c>
      <c r="Q28" s="168">
        <f t="shared" si="15"/>
        <v>-75</v>
      </c>
    </row>
    <row r="29">
      <c r="B29" s="2" t="s">
        <v>149</v>
      </c>
      <c r="C29" s="167"/>
      <c r="D29" s="2">
        <v>191.0</v>
      </c>
      <c r="E29" s="168">
        <f t="shared" si="11"/>
        <v>-191</v>
      </c>
      <c r="F29" s="167"/>
      <c r="G29" s="2">
        <v>77.44</v>
      </c>
      <c r="H29" s="168">
        <f t="shared" si="12"/>
        <v>-77.44</v>
      </c>
      <c r="I29" s="167"/>
      <c r="J29" s="2">
        <v>17.0</v>
      </c>
      <c r="K29" s="168">
        <f t="shared" si="13"/>
        <v>-17</v>
      </c>
      <c r="L29" s="167"/>
      <c r="M29" s="2">
        <f>86.34</f>
        <v>86.34</v>
      </c>
      <c r="N29" s="168">
        <f t="shared" si="14"/>
        <v>-86.34</v>
      </c>
      <c r="O29" s="167"/>
      <c r="P29" s="183">
        <f>41.8+10.93+38.63</f>
        <v>91.36</v>
      </c>
      <c r="Q29" s="168">
        <f t="shared" si="15"/>
        <v>-91.36</v>
      </c>
    </row>
    <row r="30">
      <c r="B30" s="2" t="s">
        <v>150</v>
      </c>
      <c r="C30" s="167"/>
      <c r="D30" s="2">
        <v>165.0</v>
      </c>
      <c r="E30" s="168">
        <f t="shared" si="11"/>
        <v>-165</v>
      </c>
      <c r="F30" s="167"/>
      <c r="G30" s="2">
        <v>25.0</v>
      </c>
      <c r="H30" s="168">
        <f t="shared" si="12"/>
        <v>-25</v>
      </c>
      <c r="I30" s="167"/>
      <c r="J30" s="2">
        <v>31.37</v>
      </c>
      <c r="K30" s="168">
        <f t="shared" si="13"/>
        <v>-31.37</v>
      </c>
      <c r="L30" s="167"/>
      <c r="M30" s="2">
        <v>545.25</v>
      </c>
      <c r="N30" s="168">
        <f t="shared" si="14"/>
        <v>-545.25</v>
      </c>
      <c r="O30" s="167"/>
      <c r="P30" s="183">
        <f>18+70</f>
        <v>88</v>
      </c>
      <c r="Q30" s="168">
        <f t="shared" si="15"/>
        <v>-88</v>
      </c>
    </row>
    <row r="31">
      <c r="B31" s="2" t="s">
        <v>151</v>
      </c>
      <c r="C31" s="167"/>
      <c r="D31" s="2"/>
      <c r="E31" s="168"/>
      <c r="F31" s="184"/>
      <c r="G31" s="2">
        <v>122.39</v>
      </c>
      <c r="H31" s="168">
        <f t="shared" si="12"/>
        <v>-122.39</v>
      </c>
      <c r="I31" s="184"/>
      <c r="J31" s="2">
        <v>120.76</v>
      </c>
      <c r="K31" s="168">
        <f t="shared" si="13"/>
        <v>-120.76</v>
      </c>
      <c r="L31" s="184"/>
      <c r="M31" s="183">
        <f>28+85+65</f>
        <v>178</v>
      </c>
      <c r="N31" s="168">
        <f t="shared" si="14"/>
        <v>-178</v>
      </c>
      <c r="O31" s="184"/>
      <c r="P31" s="2">
        <v>11.48</v>
      </c>
      <c r="Q31" s="168">
        <f t="shared" si="15"/>
        <v>-11.48</v>
      </c>
    </row>
    <row r="32">
      <c r="B32" s="2" t="s">
        <v>152</v>
      </c>
      <c r="C32" s="167"/>
      <c r="D32" s="2"/>
      <c r="E32" s="168"/>
      <c r="F32" s="167"/>
      <c r="G32" s="2">
        <v>20.47</v>
      </c>
      <c r="H32" s="168">
        <f t="shared" si="12"/>
        <v>-20.47</v>
      </c>
      <c r="I32" s="167"/>
      <c r="J32" s="2">
        <v>20.67</v>
      </c>
      <c r="K32" s="168">
        <f t="shared" si="13"/>
        <v>-20.67</v>
      </c>
      <c r="L32" s="167"/>
      <c r="M32" s="2">
        <v>85.15</v>
      </c>
      <c r="N32" s="168">
        <f t="shared" si="14"/>
        <v>-85.15</v>
      </c>
      <c r="O32" s="167"/>
      <c r="P32" s="2">
        <v>4.59</v>
      </c>
      <c r="Q32" s="168">
        <f t="shared" si="15"/>
        <v>-4.59</v>
      </c>
    </row>
    <row r="33">
      <c r="B33" s="2" t="s">
        <v>153</v>
      </c>
      <c r="C33" s="167"/>
      <c r="D33" s="2"/>
      <c r="E33" s="168"/>
      <c r="F33" s="167"/>
      <c r="G33" s="2">
        <v>215.13</v>
      </c>
      <c r="H33" s="168">
        <f t="shared" si="12"/>
        <v>-215.13</v>
      </c>
      <c r="I33" s="167"/>
      <c r="K33" s="168" t="str">
        <f t="shared" si="13"/>
        <v>TBD</v>
      </c>
      <c r="L33" s="167"/>
      <c r="N33" s="168" t="str">
        <f t="shared" si="14"/>
        <v>TBD</v>
      </c>
      <c r="O33" s="167"/>
      <c r="P33" s="2">
        <v>27.0</v>
      </c>
      <c r="Q33" s="168">
        <f t="shared" si="15"/>
        <v>-27</v>
      </c>
    </row>
    <row r="34">
      <c r="A34" s="194"/>
      <c r="B34" s="186" t="s">
        <v>154</v>
      </c>
      <c r="C34" s="187">
        <f t="shared" ref="C34:F34" si="16">SUM(C10:C30)</f>
        <v>4510.61</v>
      </c>
      <c r="D34" s="188">
        <f t="shared" si="16"/>
        <v>5438.47</v>
      </c>
      <c r="E34" s="195">
        <f t="shared" si="16"/>
        <v>-927.86</v>
      </c>
      <c r="F34" s="187">
        <f t="shared" si="16"/>
        <v>4440.61</v>
      </c>
      <c r="G34" s="188">
        <f>SUM(G10:G33)</f>
        <v>4984.06</v>
      </c>
      <c r="H34" s="195">
        <f t="array" ref="H34">if(ISNUMBER(G34),SUM(H10:H33),"TBD")</f>
        <v>-543.45</v>
      </c>
      <c r="I34" s="187">
        <f>SUM(I10:I30)</f>
        <v>4455.11</v>
      </c>
      <c r="J34" s="188">
        <f>SUM(J10:J33)</f>
        <v>4878.32</v>
      </c>
      <c r="K34" s="195">
        <f t="array" ref="K34">if(ISNUMBER(J34),SUM(K10:K33),"TBD")</f>
        <v>-423.21</v>
      </c>
      <c r="L34" s="187">
        <f>SUM(L10:L30)</f>
        <v>4455.11</v>
      </c>
      <c r="M34" s="196">
        <f>SUM(M10:M33)</f>
        <v>5407.69</v>
      </c>
      <c r="N34" s="197">
        <f t="array" ref="N34">if(ISNUMBER(M34),SUM(N10:N33),"TBD")</f>
        <v>-952.58</v>
      </c>
      <c r="O34" s="187" t="str">
        <f>SUM(O10:O30)</f>
        <v>#REF!</v>
      </c>
      <c r="P34" s="196">
        <f>SUM(P10:P33)</f>
        <v>4671.42</v>
      </c>
      <c r="Q34" s="195" t="str">
        <f t="array" ref="Q34">if(ISNUMBER(P34),SUM(Q10:Q33),"TBD")</f>
        <v>#REF!</v>
      </c>
    </row>
    <row r="36">
      <c r="A36" s="198" t="s">
        <v>155</v>
      </c>
      <c r="B36" s="199" t="s">
        <v>156</v>
      </c>
      <c r="C36" s="200">
        <f>D8-D34</f>
        <v>588.63</v>
      </c>
      <c r="F36" s="200">
        <f>G8-G34</f>
        <v>1446.82</v>
      </c>
      <c r="I36" s="200">
        <f>if(isnumber(K34),J8-J34, "TBD")</f>
        <v>336.12</v>
      </c>
      <c r="L36" s="201">
        <f>if(isnumber(N34),M8-M34, "TBD")</f>
        <v>1341.11</v>
      </c>
      <c r="O36" s="200" t="str">
        <f>if(isnumber(Q34),P8-P34, "TBD")</f>
        <v>TBD</v>
      </c>
    </row>
    <row r="38">
      <c r="J38" s="202" t="s">
        <v>157</v>
      </c>
      <c r="K38" s="2">
        <v>1981.52</v>
      </c>
      <c r="O38" s="2" t="s">
        <v>158</v>
      </c>
      <c r="Q38" s="2">
        <v>3508.65</v>
      </c>
    </row>
    <row r="39">
      <c r="J39" s="203" t="s">
        <v>159</v>
      </c>
    </row>
  </sheetData>
  <customSheetViews>
    <customSheetView guid="{5187B3FB-C43A-47E8-BC7F-A0A1D7F5AA34}" filter="1" showAutoFilter="1">
      <autoFilter ref="$B$1:$H$34"/>
    </customSheetView>
  </customSheetViews>
  <mergeCells count="12">
    <mergeCell ref="C36:E36"/>
    <mergeCell ref="F36:H36"/>
    <mergeCell ref="I36:K36"/>
    <mergeCell ref="L36:N36"/>
    <mergeCell ref="O36:Q36"/>
    <mergeCell ref="C1:E1"/>
    <mergeCell ref="F1:H1"/>
    <mergeCell ref="I1:K1"/>
    <mergeCell ref="L1:N1"/>
    <mergeCell ref="O1:Q1"/>
    <mergeCell ref="A2:A8"/>
    <mergeCell ref="A9:A34"/>
  </mergeCells>
  <conditionalFormatting sqref="C36:Q36">
    <cfRule type="cellIs" dxfId="1" priority="1" operator="greaterThan">
      <formula>0</formula>
    </cfRule>
  </conditionalFormatting>
  <conditionalFormatting sqref="C36:Q36">
    <cfRule type="cellIs" dxfId="0" priority="2" operator="lessThan">
      <formula>0</formula>
    </cfRule>
  </conditionalFormatting>
  <conditionalFormatting sqref="E3:E34 H3:H34 K3:K34 N3:N34 Q3:Q34">
    <cfRule type="cellIs" dxfId="6" priority="3" operator="greaterThanOrEqual">
      <formula>1</formula>
    </cfRule>
  </conditionalFormatting>
  <conditionalFormatting sqref="E3:E34 H3:H34 K3:K34 N3:N34 Q3:Q34">
    <cfRule type="cellIs" dxfId="7" priority="4" operator="lessThanOrEqual">
      <formula>-1</formula>
    </cfRule>
  </conditionalFormatting>
  <conditionalFormatting sqref="E3:E34">
    <cfRule type="cellIs" dxfId="8" priority="5" operator="equal">
      <formula>0</formula>
    </cfRule>
  </conditionalFormatting>
  <conditionalFormatting sqref="H10:H34 K10:K34 N10:N34 Q10:Q34">
    <cfRule type="cellIs" dxfId="9" priority="6" operator="equal">
      <formula>"TBD"</formula>
    </cfRule>
  </conditionalFormatting>
  <conditionalFormatting sqref="I36:Q36">
    <cfRule type="cellIs" dxfId="10" priority="7" operator="equal">
      <formula>"TBD"</formula>
    </cfRule>
  </conditionalFormatting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1.22" defaultRowHeight="15.75"/>
  <cols>
    <col customWidth="1" min="1" max="1" width="16.56"/>
    <col customWidth="1" min="2" max="13" width="11.44"/>
    <col customWidth="1" min="14" max="14" width="13.67"/>
    <col customWidth="1" min="15" max="15" width="3.0"/>
    <col customWidth="1" min="16" max="16" width="15.33"/>
    <col customWidth="1" min="17" max="31" width="11.44"/>
  </cols>
  <sheetData>
    <row r="1" ht="35.25" customHeight="1">
      <c r="A1" s="73">
        <v>2023.0</v>
      </c>
      <c r="B1" s="204" t="s">
        <v>71</v>
      </c>
      <c r="C1" s="205" t="s">
        <v>72</v>
      </c>
      <c r="D1" s="205" t="s">
        <v>73</v>
      </c>
      <c r="E1" s="205" t="s">
        <v>74</v>
      </c>
      <c r="F1" s="205" t="s">
        <v>75</v>
      </c>
      <c r="G1" s="205" t="s">
        <v>76</v>
      </c>
      <c r="H1" s="205" t="s">
        <v>77</v>
      </c>
      <c r="I1" s="205" t="s">
        <v>78</v>
      </c>
      <c r="J1" s="205" t="s">
        <v>79</v>
      </c>
      <c r="K1" s="205" t="s">
        <v>80</v>
      </c>
      <c r="L1" s="205" t="s">
        <v>81</v>
      </c>
      <c r="M1" s="205" t="s">
        <v>82</v>
      </c>
      <c r="N1" s="85" t="s">
        <v>160</v>
      </c>
      <c r="O1" s="13"/>
      <c r="P1" s="73"/>
      <c r="Q1" s="74"/>
      <c r="R1" s="81"/>
      <c r="T1" s="81"/>
      <c r="V1" s="81"/>
      <c r="X1" s="81"/>
      <c r="Y1" s="81"/>
      <c r="Z1" s="81"/>
      <c r="AA1" s="81"/>
      <c r="AB1" s="81"/>
      <c r="AC1" s="81"/>
      <c r="AD1" s="81"/>
      <c r="AE1" s="81"/>
      <c r="AF1" s="85"/>
      <c r="AG1" s="13"/>
    </row>
    <row r="2" ht="24.0" customHeight="1">
      <c r="A2" s="73"/>
      <c r="B2" s="74"/>
      <c r="C2" s="81"/>
      <c r="D2" s="81"/>
      <c r="E2" s="81"/>
      <c r="F2" s="81"/>
      <c r="G2" s="81"/>
      <c r="H2" s="81"/>
      <c r="I2" s="81"/>
      <c r="J2" s="81"/>
      <c r="K2" s="81"/>
      <c r="L2" s="81"/>
      <c r="M2" s="205"/>
      <c r="N2" s="85"/>
      <c r="O2" s="13"/>
      <c r="P2" s="73"/>
      <c r="Q2" s="74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5"/>
      <c r="AG2" s="13"/>
    </row>
    <row r="3">
      <c r="A3" s="2" t="s">
        <v>68</v>
      </c>
      <c r="B3" s="206">
        <v>1467.8520833333341</v>
      </c>
      <c r="C3" s="207">
        <f t="shared" ref="C3:I3" si="1">(sum(C7:C10)-(SUM(C12,C19,C26,C33,C38,C46:C47,C49:C57)
))</f>
        <v>1446.472083</v>
      </c>
      <c r="D3" s="207">
        <f t="shared" si="1"/>
        <v>360.1520833</v>
      </c>
      <c r="E3" s="207">
        <f t="shared" si="1"/>
        <v>565.2120833</v>
      </c>
      <c r="F3" s="207">
        <f t="shared" si="1"/>
        <v>138.8120833</v>
      </c>
      <c r="G3" s="207">
        <f t="shared" si="1"/>
        <v>-592.6279167</v>
      </c>
      <c r="H3" s="207">
        <f t="shared" si="1"/>
        <v>100.3720833</v>
      </c>
      <c r="I3" s="207">
        <f t="shared" si="1"/>
        <v>1105.652083</v>
      </c>
      <c r="J3" s="207" t="str">
        <f t="shared" ref="J3:M3" si="2">(sum(J7:J10)-(SUM(J12,J19,J26,J33,J38,J45)
))</f>
        <v>#REF!</v>
      </c>
      <c r="K3" s="207" t="str">
        <f t="shared" si="2"/>
        <v>#REF!</v>
      </c>
      <c r="L3" s="207" t="str">
        <f t="shared" si="2"/>
        <v>#REF!</v>
      </c>
      <c r="M3" s="208" t="str">
        <f t="shared" si="2"/>
        <v>#REF!</v>
      </c>
      <c r="N3" s="53"/>
      <c r="O3" s="53"/>
      <c r="P3" s="52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6"/>
    </row>
    <row r="4">
      <c r="A4" s="2" t="s">
        <v>161</v>
      </c>
      <c r="B4" s="209">
        <v>1467.8520833333341</v>
      </c>
      <c r="C4" s="210">
        <f>B3+C3</f>
        <v>2914.324167</v>
      </c>
      <c r="D4" s="211">
        <f t="shared" ref="D4:M4" si="3">C4+D3</f>
        <v>3274.47625</v>
      </c>
      <c r="E4" s="211">
        <f t="shared" si="3"/>
        <v>3839.688333</v>
      </c>
      <c r="F4" s="211">
        <f t="shared" si="3"/>
        <v>3978.500417</v>
      </c>
      <c r="G4" s="211">
        <f t="shared" si="3"/>
        <v>3385.8725</v>
      </c>
      <c r="H4" s="211">
        <f t="shared" si="3"/>
        <v>3486.244583</v>
      </c>
      <c r="I4" s="211">
        <f t="shared" si="3"/>
        <v>4591.896667</v>
      </c>
      <c r="J4" s="211" t="str">
        <f t="shared" si="3"/>
        <v>#REF!</v>
      </c>
      <c r="K4" s="211" t="str">
        <f t="shared" si="3"/>
        <v>#REF!</v>
      </c>
      <c r="L4" s="211" t="str">
        <f t="shared" si="3"/>
        <v>#REF!</v>
      </c>
      <c r="M4" s="211" t="str">
        <f t="shared" si="3"/>
        <v>#REF!</v>
      </c>
      <c r="N4" s="53" t="str">
        <f>M4</f>
        <v>#REF!</v>
      </c>
      <c r="O4" s="53"/>
      <c r="P4" s="52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</row>
    <row r="5">
      <c r="A5" s="133"/>
      <c r="B5" s="212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4"/>
      <c r="O5" s="214"/>
      <c r="P5" s="13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52"/>
      <c r="AG5" s="55"/>
    </row>
    <row r="6">
      <c r="A6" s="107" t="s">
        <v>89</v>
      </c>
      <c r="B6" s="215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7"/>
      <c r="O6" s="217"/>
      <c r="P6" s="13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52"/>
      <c r="AG6" s="55"/>
    </row>
    <row r="7">
      <c r="A7" s="113" t="s">
        <v>3</v>
      </c>
      <c r="B7" s="218">
        <v>4052.5333333333333</v>
      </c>
      <c r="C7" s="219">
        <v>4052.5333333333333</v>
      </c>
      <c r="D7" s="219">
        <v>4052.5333333333333</v>
      </c>
      <c r="E7" s="219">
        <v>4052.5333333333333</v>
      </c>
      <c r="F7" s="219">
        <v>4052.5333333333333</v>
      </c>
      <c r="G7" s="219">
        <v>4052.5333333333333</v>
      </c>
      <c r="H7" s="219">
        <v>4052.5333333333333</v>
      </c>
      <c r="I7" s="219">
        <v>4052.5333333333333</v>
      </c>
      <c r="J7" s="219">
        <f>((Mensuel!$C$5/4)*3)*0.75+(Mensuel!$C$5/4)</f>
        <v>3350.143333</v>
      </c>
      <c r="K7" s="219">
        <f>Mensuel!$C$5</f>
        <v>4123.253333</v>
      </c>
      <c r="L7" s="219">
        <f>Mensuel!$C$5</f>
        <v>4123.253333</v>
      </c>
      <c r="M7" s="219">
        <f>Mensuel!$C$5</f>
        <v>4123.253333</v>
      </c>
      <c r="N7" s="52">
        <f t="shared" ref="N7:N10" si="5">SUM(B7:M7)</f>
        <v>48140.17</v>
      </c>
      <c r="O7" s="52"/>
      <c r="P7" s="2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52"/>
      <c r="AG7" s="55"/>
    </row>
    <row r="8">
      <c r="A8" s="113" t="s">
        <v>4</v>
      </c>
      <c r="B8" s="218">
        <v>1539.72</v>
      </c>
      <c r="C8" s="219">
        <v>1689.1</v>
      </c>
      <c r="D8" s="219">
        <v>1500.0</v>
      </c>
      <c r="E8" s="219">
        <v>1500.0</v>
      </c>
      <c r="F8" s="219">
        <v>1500.0</v>
      </c>
      <c r="G8" s="219">
        <v>1500.0</v>
      </c>
      <c r="H8" s="219">
        <v>1500.0</v>
      </c>
      <c r="I8" s="219">
        <f t="shared" ref="I8:M8" si="4">894.14*2</f>
        <v>1788.28</v>
      </c>
      <c r="J8" s="219">
        <f t="shared" si="4"/>
        <v>1788.28</v>
      </c>
      <c r="K8" s="219">
        <f t="shared" si="4"/>
        <v>1788.28</v>
      </c>
      <c r="L8" s="219">
        <f t="shared" si="4"/>
        <v>1788.28</v>
      </c>
      <c r="M8" s="219">
        <f t="shared" si="4"/>
        <v>1788.28</v>
      </c>
      <c r="N8" s="52">
        <f t="shared" si="5"/>
        <v>19670.22</v>
      </c>
      <c r="O8" s="53"/>
      <c r="P8" s="2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20"/>
      <c r="AC8" s="220"/>
      <c r="AD8" s="220"/>
      <c r="AE8" s="220"/>
      <c r="AF8" s="52"/>
    </row>
    <row r="9">
      <c r="A9" s="113" t="s">
        <v>49</v>
      </c>
      <c r="B9" s="218">
        <v>387.84</v>
      </c>
      <c r="C9" s="219"/>
      <c r="D9" s="219"/>
      <c r="E9" s="219">
        <v>387.84</v>
      </c>
      <c r="F9" s="219"/>
      <c r="G9" s="219"/>
      <c r="H9" s="219">
        <f>(Mensuel!$C$8*12)/4</f>
        <v>1123.57</v>
      </c>
      <c r="I9" s="219"/>
      <c r="J9" s="219"/>
      <c r="K9" s="219">
        <v>695.0</v>
      </c>
      <c r="L9" s="219"/>
      <c r="M9" s="219"/>
      <c r="N9" s="52">
        <f t="shared" si="5"/>
        <v>2594.25</v>
      </c>
      <c r="O9" s="53"/>
      <c r="P9" s="2"/>
      <c r="Q9" s="220"/>
      <c r="R9" s="220"/>
      <c r="S9" s="220"/>
      <c r="T9" s="220"/>
      <c r="U9" s="220"/>
      <c r="V9" s="220"/>
      <c r="W9" s="220"/>
      <c r="X9" s="220"/>
      <c r="Y9" s="220"/>
      <c r="Z9" s="220"/>
      <c r="AA9" s="220"/>
      <c r="AB9" s="220"/>
      <c r="AC9" s="221"/>
      <c r="AD9" s="220"/>
      <c r="AE9" s="220"/>
      <c r="AF9" s="52"/>
    </row>
    <row r="10">
      <c r="A10" s="113" t="s">
        <v>51</v>
      </c>
      <c r="B10" s="218">
        <v>241.85</v>
      </c>
      <c r="C10" s="218">
        <v>241.85</v>
      </c>
      <c r="D10" s="218">
        <v>241.85</v>
      </c>
      <c r="E10" s="218">
        <v>241.85</v>
      </c>
      <c r="F10" s="218">
        <v>241.85</v>
      </c>
      <c r="G10" s="218">
        <v>241.85</v>
      </c>
      <c r="H10" s="218">
        <v>241.85</v>
      </c>
      <c r="I10" s="218">
        <v>241.85</v>
      </c>
      <c r="J10" s="218">
        <f>Mensuel!$C$9</f>
        <v>691.48</v>
      </c>
      <c r="K10" s="219">
        <v>631.82</v>
      </c>
      <c r="L10" s="219">
        <v>631.82</v>
      </c>
      <c r="M10" s="219">
        <v>631.82</v>
      </c>
      <c r="N10" s="52">
        <f t="shared" si="5"/>
        <v>4521.74</v>
      </c>
      <c r="O10" s="53"/>
      <c r="P10" s="2"/>
      <c r="Q10" s="53"/>
      <c r="R10" s="53"/>
      <c r="S10" s="53"/>
      <c r="T10" s="53"/>
      <c r="U10" s="53"/>
      <c r="V10" s="53"/>
      <c r="W10" s="52"/>
      <c r="X10" s="53"/>
      <c r="Y10" s="53"/>
      <c r="Z10" s="53"/>
      <c r="AA10" s="53"/>
      <c r="AB10" s="53"/>
      <c r="AC10" s="53"/>
      <c r="AD10" s="53"/>
      <c r="AE10" s="53"/>
      <c r="AF10" s="52"/>
    </row>
    <row r="11">
      <c r="B11" s="222"/>
      <c r="C11" s="222"/>
      <c r="D11" s="222"/>
      <c r="E11" s="222"/>
      <c r="F11" s="222"/>
      <c r="G11" s="222"/>
      <c r="H11" s="222"/>
      <c r="I11" s="222"/>
      <c r="J11" s="222"/>
      <c r="K11" s="222"/>
      <c r="L11" s="222"/>
      <c r="M11" s="222"/>
      <c r="N11" s="52"/>
      <c r="O11" s="53"/>
      <c r="P11" s="53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52"/>
    </row>
    <row r="12">
      <c r="A12" s="133" t="s">
        <v>91</v>
      </c>
      <c r="B12" s="223">
        <v>1883.1612499999999</v>
      </c>
      <c r="C12" s="223">
        <v>1883.1612499999999</v>
      </c>
      <c r="D12" s="223">
        <v>1567.38125</v>
      </c>
      <c r="E12" s="223">
        <v>1883.1612499999999</v>
      </c>
      <c r="F12" s="223">
        <v>2260.98125</v>
      </c>
      <c r="G12" s="223">
        <v>1883.1612499999999</v>
      </c>
      <c r="H12" s="223">
        <v>2260.98125</v>
      </c>
      <c r="I12" s="223">
        <v>1883.1612499999999</v>
      </c>
      <c r="J12" s="223">
        <f t="shared" ref="J12:M12" si="6">sum(J13:J17)</f>
        <v>2130.38</v>
      </c>
      <c r="K12" s="223">
        <f t="shared" si="6"/>
        <v>2130.38</v>
      </c>
      <c r="L12" s="223">
        <f t="shared" si="6"/>
        <v>2130.38</v>
      </c>
      <c r="M12" s="223">
        <f t="shared" si="6"/>
        <v>2130.38</v>
      </c>
      <c r="N12" s="214">
        <f t="shared" ref="N12:N17" si="7">SUM(B12:M12)</f>
        <v>24026.67</v>
      </c>
      <c r="O12" s="224"/>
      <c r="P12" s="13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52"/>
    </row>
    <row r="13">
      <c r="A13" s="2" t="s">
        <v>92</v>
      </c>
      <c r="B13" s="222">
        <v>1490.0</v>
      </c>
      <c r="C13" s="225">
        <v>1490.0</v>
      </c>
      <c r="D13" s="225">
        <v>1490.0</v>
      </c>
      <c r="E13" s="225">
        <v>1490.0</v>
      </c>
      <c r="F13" s="225">
        <v>1490.0</v>
      </c>
      <c r="G13" s="225">
        <v>1490.0</v>
      </c>
      <c r="H13" s="225">
        <v>1490.0</v>
      </c>
      <c r="I13" s="225">
        <v>1490.0</v>
      </c>
      <c r="J13" s="225">
        <f>Mensuel!$C$16</f>
        <v>1680</v>
      </c>
      <c r="K13" s="225">
        <f>Mensuel!$C$16</f>
        <v>1680</v>
      </c>
      <c r="L13" s="225">
        <f>Mensuel!$C$16</f>
        <v>1680</v>
      </c>
      <c r="M13" s="225">
        <f>Mensuel!$C$16</f>
        <v>1680</v>
      </c>
      <c r="N13" s="52">
        <f t="shared" si="7"/>
        <v>18640</v>
      </c>
      <c r="O13" s="53"/>
      <c r="Q13" s="22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52"/>
      <c r="AG13" s="55"/>
    </row>
    <row r="14">
      <c r="A14" s="2" t="s">
        <v>129</v>
      </c>
      <c r="B14" s="222">
        <v>200.0</v>
      </c>
      <c r="C14" s="222">
        <v>200.0</v>
      </c>
      <c r="D14" s="222">
        <v>200.0</v>
      </c>
      <c r="E14" s="222">
        <v>200.0</v>
      </c>
      <c r="F14" s="222">
        <v>200.0</v>
      </c>
      <c r="G14" s="222">
        <v>200.0</v>
      </c>
      <c r="H14" s="222">
        <v>200.0</v>
      </c>
      <c r="I14" s="222">
        <v>200.0</v>
      </c>
      <c r="J14" s="222">
        <f>Mensuel!$C$18</f>
        <v>200</v>
      </c>
      <c r="K14" s="222">
        <f>Mensuel!$C$18</f>
        <v>200</v>
      </c>
      <c r="L14" s="222">
        <f>Mensuel!$C$18</f>
        <v>200</v>
      </c>
      <c r="M14" s="222">
        <f>Mensuel!$C$18</f>
        <v>200</v>
      </c>
      <c r="N14" s="52">
        <f t="shared" si="7"/>
        <v>2400</v>
      </c>
      <c r="O14" s="53"/>
      <c r="Q14" s="90"/>
      <c r="R14" s="90"/>
      <c r="S14" s="220"/>
      <c r="T14" s="90"/>
      <c r="U14" s="220"/>
      <c r="V14" s="90"/>
      <c r="W14" s="220"/>
      <c r="X14" s="90"/>
      <c r="Y14" s="90"/>
      <c r="Z14" s="90"/>
      <c r="AA14" s="90"/>
      <c r="AB14" s="90"/>
      <c r="AC14" s="90"/>
      <c r="AD14" s="90"/>
      <c r="AE14" s="90"/>
      <c r="AF14" s="52"/>
    </row>
    <row r="15">
      <c r="A15" s="2" t="s">
        <v>15</v>
      </c>
      <c r="B15" s="222">
        <v>135.85125</v>
      </c>
      <c r="C15" s="222">
        <v>135.85125</v>
      </c>
      <c r="D15" s="222">
        <v>135.85125</v>
      </c>
      <c r="E15" s="222">
        <v>135.85125</v>
      </c>
      <c r="F15" s="222">
        <v>135.85125</v>
      </c>
      <c r="G15" s="222">
        <v>135.85125</v>
      </c>
      <c r="H15" s="222">
        <v>135.85125</v>
      </c>
      <c r="I15" s="222">
        <v>135.85125</v>
      </c>
      <c r="J15" s="222">
        <f>Mensuel!$C$17</f>
        <v>170</v>
      </c>
      <c r="K15" s="222">
        <f>Mensuel!$C$17</f>
        <v>170</v>
      </c>
      <c r="L15" s="222">
        <f>Mensuel!$C$17</f>
        <v>170</v>
      </c>
      <c r="M15" s="222">
        <f>Mensuel!$C$17</f>
        <v>170</v>
      </c>
      <c r="N15" s="52">
        <f t="shared" si="7"/>
        <v>1766.81</v>
      </c>
      <c r="O15" s="53"/>
      <c r="Q15" s="90"/>
      <c r="R15" s="90"/>
      <c r="S15" s="220"/>
      <c r="T15" s="90"/>
      <c r="U15" s="220"/>
      <c r="V15" s="90"/>
      <c r="W15" s="220"/>
      <c r="X15" s="90"/>
      <c r="Y15" s="90"/>
      <c r="Z15" s="90"/>
      <c r="AA15" s="90"/>
      <c r="AB15" s="90"/>
      <c r="AC15" s="90"/>
      <c r="AD15" s="90"/>
      <c r="AE15" s="90"/>
      <c r="AF15" s="52"/>
      <c r="AG15" s="96"/>
    </row>
    <row r="16">
      <c r="A16" s="2" t="s">
        <v>93</v>
      </c>
      <c r="B16" s="222">
        <v>57.31</v>
      </c>
      <c r="C16" s="225">
        <v>57.31</v>
      </c>
      <c r="D16" s="225">
        <v>57.31</v>
      </c>
      <c r="E16" s="225">
        <v>57.31</v>
      </c>
      <c r="F16" s="225">
        <v>57.31</v>
      </c>
      <c r="G16" s="225">
        <v>57.31</v>
      </c>
      <c r="H16" s="225">
        <v>57.31</v>
      </c>
      <c r="I16" s="225">
        <v>57.31</v>
      </c>
      <c r="J16" s="225">
        <f>Mensuel!$C$21</f>
        <v>80.38</v>
      </c>
      <c r="K16" s="225">
        <f>Mensuel!$C$21</f>
        <v>80.38</v>
      </c>
      <c r="L16" s="225">
        <f>Mensuel!$C$21</f>
        <v>80.38</v>
      </c>
      <c r="M16" s="225">
        <f>Mensuel!$C$21</f>
        <v>80.38</v>
      </c>
      <c r="N16" s="52">
        <f t="shared" si="7"/>
        <v>780</v>
      </c>
      <c r="O16" s="53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52"/>
    </row>
    <row r="17">
      <c r="A17" s="2" t="s">
        <v>56</v>
      </c>
      <c r="B17" s="222"/>
      <c r="C17" s="222"/>
      <c r="D17" s="225">
        <v>-315.78</v>
      </c>
      <c r="E17" s="222"/>
      <c r="F17" s="225">
        <v>377.82</v>
      </c>
      <c r="G17" s="222"/>
      <c r="H17" s="225">
        <v>377.82</v>
      </c>
      <c r="I17" s="222"/>
      <c r="J17" s="222"/>
      <c r="K17" s="226"/>
      <c r="L17" s="222"/>
      <c r="M17" s="222"/>
      <c r="N17" s="52">
        <f t="shared" si="7"/>
        <v>439.86</v>
      </c>
      <c r="O17" s="53"/>
      <c r="Q17" s="90"/>
      <c r="R17" s="90"/>
      <c r="S17" s="90"/>
      <c r="T17" s="220"/>
      <c r="U17" s="220"/>
      <c r="V17" s="90"/>
      <c r="W17" s="220"/>
      <c r="X17" s="220"/>
      <c r="Y17" s="90"/>
      <c r="Z17" s="220"/>
      <c r="AA17" s="90"/>
      <c r="AB17" s="90"/>
      <c r="AC17" s="220"/>
      <c r="AD17" s="90"/>
      <c r="AE17" s="90"/>
      <c r="AF17" s="52"/>
    </row>
    <row r="18">
      <c r="A18" s="2"/>
      <c r="B18" s="222"/>
      <c r="C18" s="222"/>
      <c r="D18" s="222"/>
      <c r="E18" s="222"/>
      <c r="F18" s="222"/>
      <c r="G18" s="222"/>
      <c r="H18" s="222"/>
      <c r="I18" s="222"/>
      <c r="J18" s="222"/>
      <c r="K18" s="222"/>
      <c r="L18" s="222"/>
      <c r="M18" s="222"/>
      <c r="N18" s="52"/>
      <c r="O18" s="53"/>
      <c r="P18" s="53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52"/>
    </row>
    <row r="19">
      <c r="A19" s="133" t="s">
        <v>95</v>
      </c>
      <c r="B19" s="223">
        <v>1158.58</v>
      </c>
      <c r="C19" s="223">
        <v>1033.83</v>
      </c>
      <c r="D19" s="223">
        <v>1033.83</v>
      </c>
      <c r="E19" s="223">
        <v>1033.83</v>
      </c>
      <c r="F19" s="223">
        <v>1636.57</v>
      </c>
      <c r="G19" s="223">
        <v>1033.83</v>
      </c>
      <c r="H19" s="223">
        <v>2058.58</v>
      </c>
      <c r="I19" s="223">
        <v>1403.83</v>
      </c>
      <c r="J19" s="223" t="str">
        <f t="shared" ref="J19:M19" si="8">SUM(J20:J24)</f>
        <v>#REF!</v>
      </c>
      <c r="K19" s="223" t="str">
        <f t="shared" si="8"/>
        <v>#REF!</v>
      </c>
      <c r="L19" s="223" t="str">
        <f t="shared" si="8"/>
        <v>#REF!</v>
      </c>
      <c r="M19" s="223" t="str">
        <f t="shared" si="8"/>
        <v>#REF!</v>
      </c>
      <c r="N19" s="214" t="str">
        <f t="shared" ref="N19:N23" si="10">SUM(B19:M19)</f>
        <v>#REF!</v>
      </c>
      <c r="O19" s="224"/>
      <c r="P19" s="227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52"/>
    </row>
    <row r="20">
      <c r="A20" s="2" t="s">
        <v>36</v>
      </c>
      <c r="B20" s="222">
        <v>429.34</v>
      </c>
      <c r="C20" s="225">
        <v>429.34</v>
      </c>
      <c r="D20" s="225">
        <v>429.34</v>
      </c>
      <c r="E20" s="225">
        <v>429.34</v>
      </c>
      <c r="F20" s="225">
        <v>429.34</v>
      </c>
      <c r="G20" s="225">
        <v>429.34</v>
      </c>
      <c r="H20" s="225">
        <v>429.34</v>
      </c>
      <c r="I20" s="225">
        <v>429.34</v>
      </c>
      <c r="J20" s="225" t="str">
        <f t="shared" ref="J20:M20" si="9">#REF!</f>
        <v>#REF!</v>
      </c>
      <c r="K20" s="225" t="str">
        <f t="shared" si="9"/>
        <v>#REF!</v>
      </c>
      <c r="L20" s="225" t="str">
        <f t="shared" si="9"/>
        <v>#REF!</v>
      </c>
      <c r="M20" s="225" t="str">
        <f t="shared" si="9"/>
        <v>#REF!</v>
      </c>
      <c r="N20" s="52" t="str">
        <f t="shared" si="10"/>
        <v>#REF!</v>
      </c>
      <c r="O20" s="53"/>
      <c r="P20" s="15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52"/>
      <c r="AG20" s="55"/>
    </row>
    <row r="21">
      <c r="A21" s="2" t="s">
        <v>96</v>
      </c>
      <c r="B21" s="228">
        <v>24.75</v>
      </c>
      <c r="C21" s="226" t="s">
        <v>162</v>
      </c>
      <c r="D21" s="225"/>
      <c r="E21" s="225"/>
      <c r="F21" s="225">
        <v>202.74</v>
      </c>
      <c r="G21" s="225"/>
      <c r="H21" s="225">
        <v>24.75</v>
      </c>
      <c r="I21" s="225"/>
      <c r="J21" s="225"/>
      <c r="K21" s="225"/>
      <c r="L21" s="225"/>
      <c r="M21" s="225"/>
      <c r="N21" s="52">
        <f t="shared" si="10"/>
        <v>252.24</v>
      </c>
      <c r="O21" s="53"/>
      <c r="P21" s="150"/>
      <c r="Q21" s="220"/>
      <c r="R21" s="220"/>
      <c r="S21" s="220"/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52"/>
    </row>
    <row r="22">
      <c r="A22" s="2" t="s">
        <v>97</v>
      </c>
      <c r="B22" s="222">
        <v>104.49</v>
      </c>
      <c r="C22" s="225">
        <v>104.49</v>
      </c>
      <c r="D22" s="225">
        <v>104.49</v>
      </c>
      <c r="E22" s="225">
        <v>104.49</v>
      </c>
      <c r="F22" s="225">
        <v>104.49</v>
      </c>
      <c r="G22" s="225">
        <v>104.49</v>
      </c>
      <c r="H22" s="225">
        <v>104.49</v>
      </c>
      <c r="I22" s="225">
        <v>104.49</v>
      </c>
      <c r="J22" s="225">
        <f>Mensuel!$C$22</f>
        <v>98.54</v>
      </c>
      <c r="K22" s="225">
        <f>Mensuel!$C$22</f>
        <v>98.54</v>
      </c>
      <c r="L22" s="225">
        <f>Mensuel!$C$22</f>
        <v>98.54</v>
      </c>
      <c r="M22" s="225">
        <f>Mensuel!$C$22</f>
        <v>98.54</v>
      </c>
      <c r="N22" s="52">
        <f t="shared" si="10"/>
        <v>1230.08</v>
      </c>
      <c r="O22" s="53"/>
      <c r="P22" s="15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52"/>
    </row>
    <row r="23">
      <c r="A23" s="2" t="s">
        <v>38</v>
      </c>
      <c r="B23" s="222">
        <v>600.0</v>
      </c>
      <c r="C23" s="225">
        <v>500.0</v>
      </c>
      <c r="D23" s="225">
        <v>500.0</v>
      </c>
      <c r="E23" s="225">
        <v>500.0</v>
      </c>
      <c r="F23" s="225">
        <v>500.0</v>
      </c>
      <c r="G23" s="225">
        <v>500.0</v>
      </c>
      <c r="H23" s="225">
        <v>500.0</v>
      </c>
      <c r="I23" s="225">
        <v>500.0</v>
      </c>
      <c r="J23" s="225">
        <v>300.0</v>
      </c>
      <c r="K23" s="225">
        <v>300.0</v>
      </c>
      <c r="L23" s="225">
        <f>Mensuel!$C$27</f>
        <v>540</v>
      </c>
      <c r="M23" s="225">
        <f>Mensuel!$C$27</f>
        <v>540</v>
      </c>
      <c r="N23" s="52">
        <f t="shared" si="10"/>
        <v>5780</v>
      </c>
      <c r="O23" s="52"/>
      <c r="P23" s="150"/>
      <c r="Q23" s="220"/>
      <c r="R23" s="220"/>
      <c r="S23" s="220"/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52"/>
      <c r="AG23" s="55"/>
    </row>
    <row r="24">
      <c r="A24" s="2" t="s">
        <v>163</v>
      </c>
      <c r="B24" s="222"/>
      <c r="C24" s="222"/>
      <c r="D24" s="222"/>
      <c r="E24" s="222"/>
      <c r="F24" s="225">
        <v>400.0</v>
      </c>
      <c r="G24" s="222"/>
      <c r="H24" s="225">
        <v>1000.0</v>
      </c>
      <c r="I24" s="225">
        <v>220.0</v>
      </c>
      <c r="J24" s="222"/>
      <c r="K24" s="222"/>
      <c r="L24" s="222"/>
      <c r="M24" s="222"/>
      <c r="N24" s="52"/>
      <c r="O24" s="53"/>
      <c r="P24" s="150"/>
      <c r="Q24" s="90"/>
      <c r="S24" s="52"/>
      <c r="T24" s="90"/>
      <c r="U24" s="90"/>
      <c r="V24" s="90"/>
      <c r="W24" s="90"/>
      <c r="X24" s="220"/>
      <c r="Y24" s="220"/>
      <c r="Z24" s="220"/>
      <c r="AA24" s="220"/>
      <c r="AB24" s="220"/>
      <c r="AC24" s="220"/>
      <c r="AD24" s="220"/>
      <c r="AE24" s="220"/>
      <c r="AF24" s="52"/>
    </row>
    <row r="25">
      <c r="B25" s="222"/>
      <c r="C25" s="222"/>
      <c r="D25" s="222"/>
      <c r="E25" s="222"/>
      <c r="F25" s="222"/>
      <c r="G25" s="222"/>
      <c r="H25" s="222"/>
      <c r="I25" s="222"/>
      <c r="J25" s="222"/>
      <c r="K25" s="222"/>
      <c r="L25" s="222"/>
      <c r="M25" s="222"/>
      <c r="N25" s="52"/>
      <c r="O25" s="53"/>
      <c r="P25" s="15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52"/>
    </row>
    <row r="26">
      <c r="A26" s="133" t="s">
        <v>99</v>
      </c>
      <c r="B26" s="223">
        <v>411.03</v>
      </c>
      <c r="C26" s="223">
        <v>545.03</v>
      </c>
      <c r="D26" s="223">
        <v>545.03</v>
      </c>
      <c r="E26" s="223">
        <v>545.03</v>
      </c>
      <c r="F26" s="223">
        <v>545.03</v>
      </c>
      <c r="G26" s="223">
        <v>545.03</v>
      </c>
      <c r="H26" s="223">
        <v>545.03</v>
      </c>
      <c r="I26" s="223">
        <v>545.03</v>
      </c>
      <c r="J26" s="223">
        <f t="shared" ref="J26:M26" si="11">SUM(J27:J31)</f>
        <v>546.18</v>
      </c>
      <c r="K26" s="223">
        <f t="shared" si="11"/>
        <v>546.18</v>
      </c>
      <c r="L26" s="223">
        <f t="shared" si="11"/>
        <v>546.18</v>
      </c>
      <c r="M26" s="223">
        <f t="shared" si="11"/>
        <v>546.18</v>
      </c>
      <c r="N26" s="214">
        <f t="shared" ref="N26:N31" si="12">SUM(B26:M26)</f>
        <v>6410.96</v>
      </c>
      <c r="O26" s="224"/>
      <c r="P26" s="227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52"/>
    </row>
    <row r="27">
      <c r="A27" s="2" t="s">
        <v>100</v>
      </c>
      <c r="B27" s="222">
        <v>40.0</v>
      </c>
      <c r="C27" s="225">
        <v>40.0</v>
      </c>
      <c r="D27" s="225">
        <v>40.0</v>
      </c>
      <c r="E27" s="225">
        <v>40.0</v>
      </c>
      <c r="F27" s="225">
        <v>40.0</v>
      </c>
      <c r="G27" s="225">
        <v>40.0</v>
      </c>
      <c r="H27" s="225">
        <v>40.0</v>
      </c>
      <c r="I27" s="225">
        <v>40.0</v>
      </c>
      <c r="J27" s="225">
        <v>40.0</v>
      </c>
      <c r="K27" s="225">
        <v>40.0</v>
      </c>
      <c r="L27" s="225">
        <v>40.0</v>
      </c>
      <c r="M27" s="225">
        <v>40.0</v>
      </c>
      <c r="N27" s="52">
        <f t="shared" si="12"/>
        <v>480</v>
      </c>
      <c r="O27" s="53"/>
      <c r="P27" s="150"/>
      <c r="Q27" s="53"/>
      <c r="R27" s="53"/>
      <c r="S27" s="52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2"/>
    </row>
    <row r="28">
      <c r="A28" s="2" t="s">
        <v>164</v>
      </c>
      <c r="B28" s="222">
        <v>118.01</v>
      </c>
      <c r="C28" s="225">
        <v>118.01</v>
      </c>
      <c r="D28" s="225">
        <v>118.01</v>
      </c>
      <c r="E28" s="225">
        <v>118.01</v>
      </c>
      <c r="F28" s="225">
        <v>118.01</v>
      </c>
      <c r="G28" s="225">
        <v>118.01</v>
      </c>
      <c r="H28" s="225">
        <v>118.01</v>
      </c>
      <c r="I28" s="225">
        <v>118.01</v>
      </c>
      <c r="J28" s="225">
        <v>118.01</v>
      </c>
      <c r="K28" s="225">
        <v>118.01</v>
      </c>
      <c r="L28" s="225">
        <v>118.01</v>
      </c>
      <c r="M28" s="225">
        <v>118.01</v>
      </c>
      <c r="N28" s="52">
        <f t="shared" si="12"/>
        <v>1416.12</v>
      </c>
      <c r="O28" s="53"/>
      <c r="Q28" s="90"/>
      <c r="R28" s="220"/>
      <c r="S28" s="220"/>
      <c r="T28" s="220"/>
      <c r="U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52"/>
    </row>
    <row r="29">
      <c r="A29" s="2" t="s">
        <v>102</v>
      </c>
      <c r="B29" s="222">
        <v>31.02</v>
      </c>
      <c r="C29" s="222">
        <v>31.02</v>
      </c>
      <c r="D29" s="222">
        <v>31.02</v>
      </c>
      <c r="E29" s="222">
        <v>31.02</v>
      </c>
      <c r="F29" s="222">
        <v>31.02</v>
      </c>
      <c r="G29" s="222">
        <v>31.02</v>
      </c>
      <c r="H29" s="222">
        <v>31.02</v>
      </c>
      <c r="I29" s="222">
        <v>31.02</v>
      </c>
      <c r="J29" s="222">
        <f>Mensuel!$K$26</f>
        <v>62.17</v>
      </c>
      <c r="K29" s="222">
        <f>Mensuel!$K$26</f>
        <v>62.17</v>
      </c>
      <c r="L29" s="222">
        <f>Mensuel!$K$26</f>
        <v>62.17</v>
      </c>
      <c r="M29" s="222">
        <f>Mensuel!$K$26</f>
        <v>62.17</v>
      </c>
      <c r="N29" s="52">
        <f t="shared" si="12"/>
        <v>496.84</v>
      </c>
      <c r="O29" s="53"/>
      <c r="P29" s="150"/>
      <c r="Q29" s="90"/>
      <c r="R29" s="90"/>
      <c r="S29" s="220"/>
      <c r="T29" s="90"/>
      <c r="U29" s="220"/>
      <c r="V29" s="90"/>
      <c r="W29" s="220"/>
      <c r="X29" s="90"/>
      <c r="Y29" s="90"/>
      <c r="Z29" s="90"/>
      <c r="AA29" s="90"/>
      <c r="AB29" s="90"/>
      <c r="AC29" s="90"/>
      <c r="AD29" s="90"/>
      <c r="AE29" s="90"/>
      <c r="AF29" s="52"/>
    </row>
    <row r="30">
      <c r="A30" s="2" t="s">
        <v>103</v>
      </c>
      <c r="B30" s="222">
        <v>180.0</v>
      </c>
      <c r="C30" s="222">
        <v>180.0</v>
      </c>
      <c r="D30" s="222">
        <v>180.0</v>
      </c>
      <c r="E30" s="222">
        <v>180.0</v>
      </c>
      <c r="F30" s="222">
        <v>180.0</v>
      </c>
      <c r="G30" s="222">
        <v>180.0</v>
      </c>
      <c r="H30" s="222">
        <v>180.0</v>
      </c>
      <c r="I30" s="222">
        <v>180.0</v>
      </c>
      <c r="J30" s="222">
        <f>Mensuel!$O$17</f>
        <v>180</v>
      </c>
      <c r="K30" s="222">
        <f>Mensuel!$O$17</f>
        <v>180</v>
      </c>
      <c r="L30" s="222">
        <f>Mensuel!$O$17</f>
        <v>180</v>
      </c>
      <c r="M30" s="222">
        <f>Mensuel!$O$17</f>
        <v>180</v>
      </c>
      <c r="N30" s="52">
        <f t="shared" si="12"/>
        <v>2160</v>
      </c>
      <c r="O30" s="53"/>
      <c r="P30" s="150"/>
      <c r="Q30" s="90"/>
      <c r="R30" s="90"/>
      <c r="S30" s="220"/>
      <c r="T30" s="90"/>
      <c r="U30" s="90"/>
      <c r="V30" s="90"/>
      <c r="W30" s="90"/>
      <c r="X30" s="220"/>
      <c r="Y30" s="220"/>
      <c r="Z30" s="220"/>
      <c r="AA30" s="220"/>
      <c r="AB30" s="220"/>
      <c r="AC30" s="220"/>
      <c r="AD30" s="220"/>
      <c r="AE30" s="220"/>
      <c r="AF30" s="52"/>
    </row>
    <row r="31">
      <c r="A31" s="2" t="s">
        <v>104</v>
      </c>
      <c r="B31" s="222">
        <v>12.0</v>
      </c>
      <c r="C31" s="225">
        <v>146.0</v>
      </c>
      <c r="D31" s="225">
        <v>146.0</v>
      </c>
      <c r="E31" s="225">
        <v>146.0</v>
      </c>
      <c r="F31" s="225">
        <v>146.0</v>
      </c>
      <c r="G31" s="225">
        <v>146.0</v>
      </c>
      <c r="H31" s="225">
        <v>146.0</v>
      </c>
      <c r="I31" s="225">
        <v>146.0</v>
      </c>
      <c r="J31" s="225">
        <f>Mensuel!$C$23+Mensuel!$C$24</f>
        <v>146</v>
      </c>
      <c r="K31" s="225">
        <f>Mensuel!$C$23+Mensuel!$C$24</f>
        <v>146</v>
      </c>
      <c r="L31" s="225">
        <f>Mensuel!$C$23+Mensuel!$C$24</f>
        <v>146</v>
      </c>
      <c r="M31" s="225">
        <f>Mensuel!$C$23+Mensuel!$C$24</f>
        <v>146</v>
      </c>
      <c r="N31" s="52">
        <f t="shared" si="12"/>
        <v>1618</v>
      </c>
      <c r="O31" s="52"/>
      <c r="P31" s="150"/>
      <c r="Q31" s="220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52"/>
    </row>
    <row r="32">
      <c r="B32" s="222"/>
      <c r="C32" s="222"/>
      <c r="D32" s="222"/>
      <c r="E32" s="222"/>
      <c r="F32" s="222"/>
      <c r="G32" s="222"/>
      <c r="H32" s="222"/>
      <c r="I32" s="222"/>
      <c r="J32" s="222"/>
      <c r="K32" s="222"/>
      <c r="L32" s="222"/>
      <c r="M32" s="222"/>
      <c r="N32" s="52"/>
      <c r="O32" s="53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52"/>
    </row>
    <row r="33">
      <c r="A33" s="133" t="s">
        <v>106</v>
      </c>
      <c r="B33" s="223">
        <v>840.0</v>
      </c>
      <c r="C33" s="223">
        <v>840.0</v>
      </c>
      <c r="D33" s="223">
        <v>840.0</v>
      </c>
      <c r="E33" s="223">
        <v>840.0</v>
      </c>
      <c r="F33" s="223">
        <v>840.0</v>
      </c>
      <c r="G33" s="223">
        <v>1040.0</v>
      </c>
      <c r="H33" s="223">
        <v>1040.0</v>
      </c>
      <c r="I33" s="223">
        <v>840.0</v>
      </c>
      <c r="J33" s="223">
        <f t="shared" ref="J33:M33" si="13">SUM(J34:J36)</f>
        <v>948.3333333</v>
      </c>
      <c r="K33" s="223">
        <f t="shared" si="13"/>
        <v>948.3333333</v>
      </c>
      <c r="L33" s="223">
        <f t="shared" si="13"/>
        <v>948.3333333</v>
      </c>
      <c r="M33" s="223">
        <f t="shared" si="13"/>
        <v>948.3333333</v>
      </c>
      <c r="N33" s="214">
        <f t="shared" ref="N33:N36" si="14">SUM(B33:M33)</f>
        <v>10913.33333</v>
      </c>
      <c r="O33" s="229"/>
      <c r="P33" s="227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52"/>
      <c r="AG33" s="20"/>
    </row>
    <row r="34">
      <c r="A34" s="2" t="s">
        <v>107</v>
      </c>
      <c r="B34" s="222">
        <v>600.0</v>
      </c>
      <c r="C34" s="225">
        <v>600.0</v>
      </c>
      <c r="D34" s="225">
        <v>600.0</v>
      </c>
      <c r="E34" s="225">
        <v>600.0</v>
      </c>
      <c r="F34" s="225">
        <v>600.0</v>
      </c>
      <c r="G34" s="225">
        <v>800.0</v>
      </c>
      <c r="H34" s="225">
        <v>800.0</v>
      </c>
      <c r="I34" s="225">
        <v>600.0</v>
      </c>
      <c r="J34" s="225">
        <f>Mensuel!$G$24</f>
        <v>808.3333333</v>
      </c>
      <c r="K34" s="225">
        <f>Mensuel!$G$24</f>
        <v>808.3333333</v>
      </c>
      <c r="L34" s="225">
        <f>Mensuel!$G$24</f>
        <v>808.3333333</v>
      </c>
      <c r="M34" s="225">
        <f>Mensuel!$G$24</f>
        <v>808.3333333</v>
      </c>
      <c r="N34" s="52">
        <f t="shared" si="14"/>
        <v>8433.333333</v>
      </c>
      <c r="O34" s="53"/>
      <c r="P34" s="15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52"/>
    </row>
    <row r="35">
      <c r="A35" s="2" t="s">
        <v>108</v>
      </c>
      <c r="B35" s="222">
        <v>200.0</v>
      </c>
      <c r="C35" s="222">
        <v>200.0</v>
      </c>
      <c r="D35" s="222">
        <v>200.0</v>
      </c>
      <c r="E35" s="222">
        <v>200.0</v>
      </c>
      <c r="F35" s="222">
        <v>200.0</v>
      </c>
      <c r="G35" s="222">
        <v>200.0</v>
      </c>
      <c r="H35" s="222">
        <v>200.0</v>
      </c>
      <c r="I35" s="222">
        <v>200.0</v>
      </c>
      <c r="J35" s="222">
        <f>Mensuel!$K$17</f>
        <v>100</v>
      </c>
      <c r="K35" s="222">
        <f>Mensuel!$K$17</f>
        <v>100</v>
      </c>
      <c r="L35" s="222">
        <f>Mensuel!$K$17</f>
        <v>100</v>
      </c>
      <c r="M35" s="222">
        <f>Mensuel!$K$17</f>
        <v>100</v>
      </c>
      <c r="N35" s="52">
        <f t="shared" si="14"/>
        <v>2000</v>
      </c>
      <c r="O35" s="53"/>
      <c r="P35" s="15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52"/>
    </row>
    <row r="36">
      <c r="A36" s="2" t="s">
        <v>109</v>
      </c>
      <c r="B36" s="222">
        <v>40.0</v>
      </c>
      <c r="C36" s="225">
        <v>40.0</v>
      </c>
      <c r="D36" s="225">
        <v>40.0</v>
      </c>
      <c r="E36" s="225">
        <v>40.0</v>
      </c>
      <c r="F36" s="225">
        <v>40.0</v>
      </c>
      <c r="G36" s="225">
        <v>40.0</v>
      </c>
      <c r="H36" s="225">
        <v>40.0</v>
      </c>
      <c r="I36" s="225">
        <v>40.0</v>
      </c>
      <c r="J36" s="225">
        <v>40.0</v>
      </c>
      <c r="K36" s="225">
        <v>40.0</v>
      </c>
      <c r="L36" s="225">
        <v>40.0</v>
      </c>
      <c r="M36" s="225">
        <v>40.0</v>
      </c>
      <c r="N36" s="52">
        <f t="shared" si="14"/>
        <v>480</v>
      </c>
      <c r="O36" s="53"/>
      <c r="P36" s="150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52"/>
    </row>
    <row r="37">
      <c r="B37" s="222"/>
      <c r="C37" s="222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52"/>
      <c r="O37" s="53"/>
      <c r="P37" s="15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52"/>
    </row>
    <row r="38">
      <c r="A38" s="133" t="s">
        <v>111</v>
      </c>
      <c r="B38" s="223">
        <v>212.7</v>
      </c>
      <c r="C38" s="223">
        <v>184.99</v>
      </c>
      <c r="D38" s="223">
        <v>184.99</v>
      </c>
      <c r="E38" s="223">
        <v>184.99</v>
      </c>
      <c r="F38" s="223">
        <v>184.99</v>
      </c>
      <c r="G38" s="223">
        <v>184.99</v>
      </c>
      <c r="H38" s="223">
        <v>184.99</v>
      </c>
      <c r="I38" s="223">
        <v>184.99</v>
      </c>
      <c r="J38" s="223">
        <f t="shared" ref="J38:M38" si="15">SUM(J39:J43)</f>
        <v>158.71</v>
      </c>
      <c r="K38" s="223">
        <f t="shared" si="15"/>
        <v>158.71</v>
      </c>
      <c r="L38" s="223">
        <f t="shared" si="15"/>
        <v>158.71</v>
      </c>
      <c r="M38" s="223">
        <f t="shared" si="15"/>
        <v>158.71</v>
      </c>
      <c r="N38" s="214">
        <f t="shared" ref="N38:N43" si="16">SUM(B38:M38)</f>
        <v>2142.47</v>
      </c>
      <c r="O38" s="224"/>
      <c r="P38" s="227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52"/>
    </row>
    <row r="39">
      <c r="A39" s="2" t="s">
        <v>20</v>
      </c>
      <c r="B39" s="222">
        <v>18.38</v>
      </c>
      <c r="C39" s="222">
        <v>18.38</v>
      </c>
      <c r="D39" s="222">
        <v>18.38</v>
      </c>
      <c r="E39" s="222">
        <v>18.38</v>
      </c>
      <c r="F39" s="222">
        <v>18.38</v>
      </c>
      <c r="G39" s="222">
        <v>18.38</v>
      </c>
      <c r="H39" s="222">
        <v>18.38</v>
      </c>
      <c r="I39" s="222">
        <v>18.38</v>
      </c>
      <c r="J39" s="222">
        <f>Mensuel!$G$16</f>
        <v>24.13</v>
      </c>
      <c r="K39" s="222">
        <f>Mensuel!$G$16</f>
        <v>24.13</v>
      </c>
      <c r="L39" s="222">
        <f>Mensuel!$G$16</f>
        <v>24.13</v>
      </c>
      <c r="M39" s="222">
        <f>Mensuel!$G$16</f>
        <v>24.13</v>
      </c>
      <c r="N39" s="52">
        <f t="shared" si="16"/>
        <v>243.56</v>
      </c>
      <c r="O39" s="53"/>
      <c r="P39" s="150"/>
      <c r="Q39" s="90"/>
      <c r="R39" s="90"/>
      <c r="S39" s="220"/>
      <c r="T39" s="90"/>
      <c r="U39" s="220"/>
      <c r="V39" s="90"/>
      <c r="W39" s="220"/>
      <c r="X39" s="90"/>
      <c r="Y39" s="90"/>
      <c r="Z39" s="90"/>
      <c r="AA39" s="90"/>
      <c r="AB39" s="90"/>
      <c r="AC39" s="90"/>
      <c r="AD39" s="90"/>
      <c r="AE39" s="90"/>
      <c r="AF39" s="52"/>
    </row>
    <row r="40">
      <c r="A40" s="2" t="s">
        <v>24</v>
      </c>
      <c r="B40" s="222">
        <v>18.96</v>
      </c>
      <c r="C40" s="222">
        <v>18.96</v>
      </c>
      <c r="D40" s="222">
        <v>18.96</v>
      </c>
      <c r="E40" s="222">
        <v>18.96</v>
      </c>
      <c r="F40" s="222">
        <v>18.96</v>
      </c>
      <c r="G40" s="222">
        <v>18.96</v>
      </c>
      <c r="H40" s="222">
        <v>18.96</v>
      </c>
      <c r="I40" s="222">
        <v>18.96</v>
      </c>
      <c r="J40" s="222">
        <f>Mensuel!$G$17</f>
        <v>31.02</v>
      </c>
      <c r="K40" s="222">
        <f>Mensuel!$G$17</f>
        <v>31.02</v>
      </c>
      <c r="L40" s="222">
        <f>Mensuel!$G$17</f>
        <v>31.02</v>
      </c>
      <c r="M40" s="222">
        <f>Mensuel!$G$17</f>
        <v>31.02</v>
      </c>
      <c r="N40" s="52">
        <f t="shared" si="16"/>
        <v>275.76</v>
      </c>
      <c r="O40" s="53"/>
      <c r="P40" s="150"/>
      <c r="Q40" s="90"/>
      <c r="R40" s="90"/>
      <c r="S40" s="220"/>
      <c r="T40" s="90"/>
      <c r="U40" s="220"/>
      <c r="V40" s="90"/>
      <c r="W40" s="220"/>
      <c r="X40" s="90"/>
      <c r="Y40" s="90"/>
      <c r="Z40" s="90"/>
      <c r="AA40" s="90"/>
      <c r="AB40" s="90"/>
      <c r="AC40" s="90"/>
      <c r="AD40" s="90"/>
      <c r="AE40" s="90"/>
      <c r="AF40" s="52"/>
    </row>
    <row r="41">
      <c r="A41" s="2" t="s">
        <v>30</v>
      </c>
      <c r="B41" s="222">
        <v>11.49</v>
      </c>
      <c r="C41" s="222">
        <v>11.49</v>
      </c>
      <c r="D41" s="222">
        <v>11.49</v>
      </c>
      <c r="E41" s="222">
        <v>11.49</v>
      </c>
      <c r="F41" s="222">
        <v>11.49</v>
      </c>
      <c r="G41" s="222">
        <v>11.49</v>
      </c>
      <c r="H41" s="222">
        <v>11.49</v>
      </c>
      <c r="I41" s="222">
        <v>11.49</v>
      </c>
      <c r="J41" s="222">
        <f>Mensuel!$G$19</f>
        <v>11.49</v>
      </c>
      <c r="K41" s="222">
        <f>Mensuel!$G$19</f>
        <v>11.49</v>
      </c>
      <c r="L41" s="222">
        <f>Mensuel!$G$19</f>
        <v>11.49</v>
      </c>
      <c r="M41" s="222">
        <f>Mensuel!$G$19</f>
        <v>11.49</v>
      </c>
      <c r="N41" s="52">
        <f t="shared" si="16"/>
        <v>137.88</v>
      </c>
      <c r="O41" s="53"/>
      <c r="P41" s="150"/>
      <c r="Q41" s="90"/>
      <c r="R41" s="90"/>
      <c r="S41" s="220"/>
      <c r="T41" s="90"/>
      <c r="U41" s="220"/>
      <c r="V41" s="90"/>
      <c r="W41" s="220"/>
      <c r="X41" s="90"/>
      <c r="Y41" s="90"/>
      <c r="Z41" s="90"/>
      <c r="AA41" s="90"/>
      <c r="AB41" s="90"/>
      <c r="AC41" s="90"/>
      <c r="AD41" s="90"/>
      <c r="AE41" s="90"/>
      <c r="AF41" s="52"/>
    </row>
    <row r="42">
      <c r="A42" s="2" t="s">
        <v>112</v>
      </c>
      <c r="B42" s="222">
        <v>87.29</v>
      </c>
      <c r="C42" s="222">
        <v>132.95</v>
      </c>
      <c r="D42" s="222">
        <v>132.95</v>
      </c>
      <c r="E42" s="222">
        <v>132.95</v>
      </c>
      <c r="F42" s="222">
        <v>132.95</v>
      </c>
      <c r="G42" s="222">
        <v>132.95</v>
      </c>
      <c r="H42" s="222">
        <v>132.95</v>
      </c>
      <c r="I42" s="222">
        <v>132.95</v>
      </c>
      <c r="J42" s="222">
        <f>Mensuel!$K$15</f>
        <v>85.07</v>
      </c>
      <c r="K42" s="222">
        <f>Mensuel!$K$15</f>
        <v>85.07</v>
      </c>
      <c r="L42" s="222">
        <f>Mensuel!$K$15</f>
        <v>85.07</v>
      </c>
      <c r="M42" s="222">
        <f>Mensuel!$K$15</f>
        <v>85.07</v>
      </c>
      <c r="N42" s="52">
        <f t="shared" si="16"/>
        <v>1358.22</v>
      </c>
      <c r="O42" s="53"/>
      <c r="P42" s="15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52"/>
    </row>
    <row r="43">
      <c r="A43" s="2" t="s">
        <v>130</v>
      </c>
      <c r="B43" s="222">
        <v>3.21</v>
      </c>
      <c r="C43" s="222">
        <v>3.21</v>
      </c>
      <c r="D43" s="222">
        <v>3.21</v>
      </c>
      <c r="E43" s="222">
        <v>3.21</v>
      </c>
      <c r="F43" s="222">
        <v>3.21</v>
      </c>
      <c r="G43" s="222">
        <v>3.21</v>
      </c>
      <c r="H43" s="222">
        <v>3.21</v>
      </c>
      <c r="I43" s="222">
        <v>3.21</v>
      </c>
      <c r="J43" s="222">
        <f>Mensuel!$G$18</f>
        <v>7</v>
      </c>
      <c r="K43" s="222">
        <f>Mensuel!$G$18</f>
        <v>7</v>
      </c>
      <c r="L43" s="222">
        <f>Mensuel!$G$18</f>
        <v>7</v>
      </c>
      <c r="M43" s="222">
        <f>Mensuel!$G$18</f>
        <v>7</v>
      </c>
      <c r="N43" s="52">
        <f t="shared" si="16"/>
        <v>53.68</v>
      </c>
      <c r="O43" s="53"/>
      <c r="P43" s="15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52"/>
    </row>
    <row r="44">
      <c r="B44" s="222"/>
      <c r="C44" s="222"/>
      <c r="D44" s="222"/>
      <c r="E44" s="222"/>
      <c r="F44" s="222"/>
      <c r="G44" s="222"/>
      <c r="H44" s="222"/>
      <c r="I44" s="222"/>
      <c r="J44" s="222"/>
      <c r="K44" s="222"/>
      <c r="L44" s="222"/>
      <c r="M44" s="222"/>
      <c r="N44" s="52"/>
      <c r="O44" s="53"/>
      <c r="P44" s="15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52"/>
    </row>
    <row r="45">
      <c r="A45" s="133" t="s">
        <v>114</v>
      </c>
      <c r="B45" s="223"/>
      <c r="C45" s="223"/>
      <c r="D45" s="223"/>
      <c r="E45" s="223">
        <f t="shared" ref="E45:M45" si="17">SUM(E46:E73)</f>
        <v>1130</v>
      </c>
      <c r="F45" s="223">
        <f t="shared" si="17"/>
        <v>188</v>
      </c>
      <c r="G45" s="223">
        <f t="shared" si="17"/>
        <v>1700</v>
      </c>
      <c r="H45" s="223">
        <f t="shared" si="17"/>
        <v>728</v>
      </c>
      <c r="I45" s="223">
        <f t="shared" si="17"/>
        <v>120</v>
      </c>
      <c r="J45" s="223">
        <f t="shared" si="17"/>
        <v>608</v>
      </c>
      <c r="K45" s="223">
        <f t="shared" si="17"/>
        <v>1040</v>
      </c>
      <c r="L45" s="223">
        <f t="shared" si="17"/>
        <v>48</v>
      </c>
      <c r="M45" s="223">
        <f t="shared" si="17"/>
        <v>600</v>
      </c>
      <c r="N45" s="214">
        <f>SUM(B45:M45)</f>
        <v>6162</v>
      </c>
      <c r="O45" s="224"/>
      <c r="P45" s="227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52"/>
    </row>
    <row r="46">
      <c r="A46" s="2" t="s">
        <v>33</v>
      </c>
      <c r="B46" s="228">
        <v>48.0</v>
      </c>
      <c r="C46" s="226"/>
      <c r="D46" s="226">
        <v>48.0</v>
      </c>
      <c r="E46" s="225"/>
      <c r="F46" s="225">
        <v>48.0</v>
      </c>
      <c r="G46" s="225"/>
      <c r="H46" s="225">
        <v>48.0</v>
      </c>
      <c r="I46" s="225"/>
      <c r="J46" s="225">
        <v>48.0</v>
      </c>
      <c r="K46" s="225"/>
      <c r="L46" s="225">
        <v>48.0</v>
      </c>
      <c r="M46" s="225"/>
      <c r="N46" s="52"/>
      <c r="O46" s="53"/>
      <c r="P46" s="150"/>
      <c r="Q46" s="90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52"/>
    </row>
    <row r="47">
      <c r="A47" s="2" t="s">
        <v>131</v>
      </c>
      <c r="B47" s="222"/>
      <c r="C47" s="225"/>
      <c r="D47" s="226">
        <v>25.0</v>
      </c>
      <c r="E47" s="222"/>
      <c r="F47" s="222"/>
      <c r="G47" s="225">
        <v>100.0</v>
      </c>
      <c r="H47" s="225">
        <v>80.0</v>
      </c>
      <c r="I47" s="222"/>
      <c r="J47" s="222"/>
      <c r="K47" s="225">
        <v>100.0</v>
      </c>
      <c r="L47" s="222"/>
      <c r="M47" s="222"/>
      <c r="N47" s="52"/>
      <c r="O47" s="53"/>
      <c r="P47" s="150"/>
      <c r="Q47" s="90"/>
      <c r="R47" s="220"/>
      <c r="S47" s="220"/>
      <c r="T47" s="220"/>
      <c r="U47" s="220"/>
      <c r="V47" s="90"/>
      <c r="W47" s="220"/>
      <c r="X47" s="90"/>
      <c r="Y47" s="220"/>
      <c r="Z47" s="220"/>
      <c r="AA47" s="90"/>
      <c r="AB47" s="90"/>
      <c r="AC47" s="220"/>
      <c r="AD47" s="90"/>
      <c r="AE47" s="90"/>
      <c r="AF47" s="52"/>
    </row>
    <row r="48">
      <c r="A48" s="52" t="s">
        <v>124</v>
      </c>
      <c r="B48" s="230"/>
      <c r="C48" s="231"/>
      <c r="D48" s="231"/>
      <c r="E48" s="231"/>
      <c r="F48" s="231"/>
      <c r="G48" s="231"/>
      <c r="H48" s="231"/>
      <c r="I48" s="231"/>
      <c r="J48" s="231"/>
      <c r="K48" s="231"/>
      <c r="L48" s="231"/>
      <c r="M48" s="232">
        <v>600.0</v>
      </c>
      <c r="N48" s="52"/>
      <c r="O48" s="53"/>
      <c r="P48" s="151"/>
      <c r="Q48" s="90"/>
      <c r="R48" s="220"/>
      <c r="S48" s="220"/>
      <c r="T48" s="90"/>
      <c r="U48" s="90"/>
      <c r="V48" s="220"/>
      <c r="W48" s="90"/>
      <c r="X48" s="90"/>
      <c r="Y48" s="90"/>
      <c r="Z48" s="90"/>
      <c r="AA48" s="90"/>
      <c r="AB48" s="90"/>
      <c r="AC48" s="220"/>
      <c r="AD48" s="90"/>
      <c r="AE48" s="90"/>
      <c r="AF48" s="52"/>
      <c r="AG48" s="53"/>
    </row>
    <row r="49">
      <c r="A49" s="2" t="s">
        <v>165</v>
      </c>
      <c r="B49" s="222"/>
      <c r="C49" s="222"/>
      <c r="D49" s="222"/>
      <c r="E49" s="225">
        <v>800.0</v>
      </c>
      <c r="F49" s="222"/>
      <c r="G49" s="222"/>
      <c r="H49" s="222"/>
      <c r="I49" s="222"/>
      <c r="J49" s="222"/>
      <c r="K49" s="225">
        <v>800.0</v>
      </c>
      <c r="L49" s="222"/>
      <c r="M49" s="222"/>
      <c r="N49" s="52"/>
      <c r="O49" s="53"/>
      <c r="P49" s="150"/>
      <c r="Q49" s="90"/>
      <c r="R49" s="220"/>
      <c r="S49" s="220"/>
      <c r="T49" s="220"/>
      <c r="U49" s="220"/>
      <c r="V49" s="220"/>
      <c r="W49" s="220"/>
      <c r="X49" s="220"/>
      <c r="Y49" s="90"/>
      <c r="Z49" s="90"/>
      <c r="AA49" s="90"/>
      <c r="AB49" s="220"/>
      <c r="AC49" s="220"/>
      <c r="AD49" s="90"/>
      <c r="AE49" s="90"/>
      <c r="AF49" s="52"/>
    </row>
    <row r="50">
      <c r="A50" s="2" t="s">
        <v>166</v>
      </c>
      <c r="B50" s="222"/>
      <c r="C50" s="222"/>
      <c r="D50" s="222"/>
      <c r="E50" s="225">
        <v>140.0</v>
      </c>
      <c r="F50" s="225">
        <v>140.0</v>
      </c>
      <c r="G50" s="222"/>
      <c r="H50" s="222"/>
      <c r="I50" s="222"/>
      <c r="J50" s="225">
        <v>140.0</v>
      </c>
      <c r="K50" s="225">
        <v>140.0</v>
      </c>
      <c r="L50" s="222"/>
      <c r="M50" s="222"/>
      <c r="N50" s="52"/>
      <c r="O50" s="53"/>
      <c r="P50" s="150"/>
      <c r="Q50" s="90"/>
      <c r="R50" s="220"/>
      <c r="S50" s="220"/>
      <c r="T50" s="220"/>
      <c r="U50" s="220"/>
      <c r="V50" s="220"/>
      <c r="W50" s="220"/>
      <c r="X50" s="90"/>
      <c r="Y50" s="90"/>
      <c r="Z50" s="90"/>
      <c r="AA50" s="90"/>
      <c r="AB50" s="90"/>
      <c r="AC50" s="90"/>
      <c r="AD50" s="90"/>
      <c r="AE50" s="90"/>
      <c r="AF50" s="52"/>
    </row>
    <row r="51">
      <c r="A51" s="2" t="s">
        <v>117</v>
      </c>
      <c r="B51" s="222"/>
      <c r="C51" s="222"/>
      <c r="D51" s="225">
        <v>190.0</v>
      </c>
      <c r="E51" s="225">
        <v>190.0</v>
      </c>
      <c r="F51" s="222"/>
      <c r="G51" s="222"/>
      <c r="H51" s="222"/>
      <c r="I51" s="222"/>
      <c r="J51" s="222"/>
      <c r="K51" s="222"/>
      <c r="L51" s="222"/>
      <c r="M51" s="222"/>
      <c r="N51" s="52"/>
      <c r="O51" s="53"/>
      <c r="P51" s="150"/>
      <c r="Q51" s="220"/>
      <c r="R51" s="220"/>
      <c r="S51" s="220"/>
      <c r="T51" s="220"/>
      <c r="U51" s="220"/>
      <c r="V51" s="220"/>
      <c r="W51" s="220"/>
      <c r="X51" s="220"/>
      <c r="Y51" s="220"/>
      <c r="Z51" s="220"/>
      <c r="AA51" s="90"/>
      <c r="AB51" s="90"/>
      <c r="AC51" s="90"/>
      <c r="AD51" s="90"/>
      <c r="AE51" s="90"/>
      <c r="AF51" s="52"/>
    </row>
    <row r="52">
      <c r="A52" s="2" t="s">
        <v>118</v>
      </c>
      <c r="B52" s="222"/>
      <c r="C52" s="226">
        <v>50.0</v>
      </c>
      <c r="D52" s="222"/>
      <c r="E52" s="222"/>
      <c r="F52" s="222"/>
      <c r="G52" s="222"/>
      <c r="H52" s="222"/>
      <c r="I52" s="222"/>
      <c r="J52" s="225">
        <v>220.0</v>
      </c>
      <c r="K52" s="222"/>
      <c r="L52" s="222"/>
      <c r="M52" s="222"/>
      <c r="N52" s="52"/>
      <c r="O52" s="53"/>
      <c r="P52" s="150"/>
      <c r="Q52" s="90"/>
      <c r="R52" s="90"/>
      <c r="S52" s="90"/>
      <c r="T52" s="90"/>
      <c r="U52" s="90"/>
      <c r="V52" s="90"/>
      <c r="W52" s="90"/>
      <c r="X52" s="90"/>
      <c r="Y52" s="220"/>
      <c r="Z52" s="220"/>
      <c r="AA52" s="90"/>
      <c r="AB52" s="90"/>
      <c r="AC52" s="90"/>
      <c r="AD52" s="90"/>
      <c r="AE52" s="90"/>
      <c r="AF52" s="52"/>
    </row>
    <row r="53">
      <c r="A53" s="2" t="s">
        <v>119</v>
      </c>
      <c r="B53" s="222"/>
      <c r="C53" s="222"/>
      <c r="D53" s="222"/>
      <c r="E53" s="222"/>
      <c r="F53" s="222"/>
      <c r="G53" s="225">
        <v>200.0</v>
      </c>
      <c r="H53" s="225">
        <v>200.0</v>
      </c>
      <c r="I53" s="222"/>
      <c r="J53" s="222"/>
      <c r="K53" s="222"/>
      <c r="L53" s="222"/>
      <c r="M53" s="222"/>
      <c r="N53" s="52"/>
      <c r="O53" s="53"/>
      <c r="P53" s="150"/>
      <c r="Q53" s="90"/>
      <c r="R53" s="220"/>
      <c r="S53" s="220"/>
      <c r="T53" s="220"/>
      <c r="U53" s="220"/>
      <c r="V53" s="90"/>
      <c r="W53" s="220"/>
      <c r="X53" s="220"/>
      <c r="Y53" s="220"/>
      <c r="Z53" s="220"/>
      <c r="AA53" s="220"/>
      <c r="AB53" s="90"/>
      <c r="AC53" s="90"/>
      <c r="AD53" s="90"/>
      <c r="AE53" s="90"/>
      <c r="AF53" s="52"/>
    </row>
    <row r="54">
      <c r="A54" s="2" t="s">
        <v>167</v>
      </c>
      <c r="B54" s="222"/>
      <c r="C54" s="222"/>
      <c r="D54" s="225">
        <v>1000.0</v>
      </c>
      <c r="E54" s="222"/>
      <c r="F54" s="225"/>
      <c r="G54" s="225">
        <v>400.0</v>
      </c>
      <c r="H54" s="225">
        <v>400.0</v>
      </c>
      <c r="I54" s="225"/>
      <c r="J54" s="222"/>
      <c r="K54" s="222"/>
      <c r="L54" s="222"/>
      <c r="M54" s="222"/>
      <c r="N54" s="52"/>
      <c r="O54" s="53"/>
      <c r="P54" s="150"/>
      <c r="Q54" s="90"/>
      <c r="R54" s="220"/>
      <c r="S54" s="220"/>
      <c r="T54" s="220"/>
      <c r="U54" s="220"/>
      <c r="V54" s="90"/>
      <c r="W54" s="220"/>
      <c r="X54" s="90"/>
      <c r="Y54" s="90"/>
      <c r="Z54" s="90"/>
      <c r="AA54" s="90"/>
      <c r="AB54" s="90"/>
      <c r="AC54" s="90"/>
      <c r="AD54" s="220"/>
      <c r="AE54" s="90"/>
      <c r="AF54" s="52"/>
    </row>
    <row r="55">
      <c r="A55" s="2" t="s">
        <v>121</v>
      </c>
      <c r="B55" s="228">
        <v>165.0</v>
      </c>
      <c r="C55" s="222"/>
      <c r="D55" s="222"/>
      <c r="E55" s="222"/>
      <c r="F55" s="222"/>
      <c r="G55" s="222"/>
      <c r="H55" s="222"/>
      <c r="I55" s="222"/>
      <c r="J55" s="225">
        <v>200.0</v>
      </c>
      <c r="K55" s="222"/>
      <c r="L55" s="225"/>
      <c r="M55" s="222"/>
      <c r="N55" s="52"/>
      <c r="O55" s="53"/>
      <c r="P55" s="15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52"/>
    </row>
    <row r="56">
      <c r="A56" s="2" t="s">
        <v>122</v>
      </c>
      <c r="B56" s="222"/>
      <c r="C56" s="222"/>
      <c r="D56" s="222"/>
      <c r="E56" s="222"/>
      <c r="F56" s="222"/>
      <c r="G56" s="222"/>
      <c r="H56" s="222"/>
      <c r="I56" s="225">
        <v>120.0</v>
      </c>
      <c r="J56" s="222"/>
      <c r="K56" s="222"/>
      <c r="L56" s="222"/>
      <c r="M56" s="222"/>
      <c r="N56" s="53"/>
      <c r="O56" s="53"/>
      <c r="P56" s="150"/>
      <c r="Q56" s="90"/>
      <c r="R56" s="90"/>
      <c r="S56" s="90"/>
      <c r="T56" s="90"/>
      <c r="U56" s="220"/>
      <c r="V56" s="90"/>
      <c r="W56" s="220"/>
      <c r="X56" s="90"/>
      <c r="Y56" s="90"/>
      <c r="Z56" s="90"/>
      <c r="AA56" s="90"/>
      <c r="AB56" s="90"/>
      <c r="AC56" s="90"/>
      <c r="AD56" s="90"/>
      <c r="AE56" s="90"/>
      <c r="AF56" s="52"/>
    </row>
    <row r="57">
      <c r="A57" s="2" t="s">
        <v>123</v>
      </c>
      <c r="B57" s="222"/>
      <c r="C57" s="233"/>
      <c r="D57" s="233"/>
      <c r="E57" s="233"/>
      <c r="F57" s="233"/>
      <c r="G57" s="234">
        <v>1000.0</v>
      </c>
      <c r="H57" s="233"/>
      <c r="I57" s="233"/>
      <c r="J57" s="233"/>
      <c r="K57" s="233"/>
      <c r="L57" s="233"/>
      <c r="M57" s="233"/>
      <c r="N57" s="53"/>
      <c r="O57" s="53"/>
      <c r="Q57" s="90"/>
      <c r="V57" s="2"/>
      <c r="W57" s="2"/>
      <c r="AF57" s="53"/>
    </row>
    <row r="58">
      <c r="B58" s="222"/>
      <c r="C58" s="235"/>
      <c r="D58" s="235"/>
      <c r="E58" s="235"/>
      <c r="F58" s="235"/>
      <c r="G58" s="235"/>
      <c r="H58" s="235"/>
      <c r="I58" s="235"/>
      <c r="J58" s="235"/>
      <c r="K58" s="235"/>
      <c r="L58" s="235"/>
      <c r="M58" s="235"/>
      <c r="Q58" s="90"/>
    </row>
    <row r="59">
      <c r="B59" s="222"/>
      <c r="C59" s="235"/>
      <c r="D59" s="236"/>
      <c r="E59" s="235"/>
      <c r="F59" s="235"/>
      <c r="G59" s="235"/>
      <c r="H59" s="235"/>
      <c r="I59" s="235"/>
      <c r="J59" s="235"/>
      <c r="K59" s="235"/>
      <c r="L59" s="235"/>
      <c r="M59" s="235"/>
      <c r="Q59" s="90"/>
    </row>
    <row r="60">
      <c r="B60" s="222"/>
      <c r="C60" s="235"/>
      <c r="D60" s="235"/>
      <c r="E60" s="235"/>
      <c r="F60" s="235"/>
      <c r="G60" s="235"/>
      <c r="H60" s="235"/>
      <c r="I60" s="235"/>
      <c r="J60" s="235"/>
      <c r="K60" s="235"/>
      <c r="L60" s="235"/>
      <c r="M60" s="235"/>
      <c r="Q60" s="90"/>
    </row>
    <row r="61">
      <c r="B61" s="222"/>
      <c r="C61" s="235"/>
      <c r="D61" s="235"/>
      <c r="E61" s="235"/>
      <c r="F61" s="235"/>
      <c r="G61" s="235"/>
      <c r="H61" s="235"/>
      <c r="I61" s="235"/>
      <c r="J61" s="235"/>
      <c r="K61" s="235"/>
      <c r="L61" s="235"/>
      <c r="M61" s="235"/>
      <c r="Q61" s="90"/>
    </row>
    <row r="62">
      <c r="B62" s="222"/>
      <c r="C62" s="235"/>
      <c r="D62" s="235"/>
      <c r="E62" s="235"/>
      <c r="F62" s="235"/>
      <c r="G62" s="235"/>
      <c r="H62" s="235"/>
      <c r="I62" s="235"/>
      <c r="J62" s="235"/>
      <c r="K62" s="235"/>
      <c r="L62" s="235"/>
      <c r="M62" s="235"/>
      <c r="Q62" s="90"/>
    </row>
    <row r="63">
      <c r="B63" s="222"/>
      <c r="C63" s="235"/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Q63" s="90"/>
    </row>
    <row r="64">
      <c r="B64" s="222"/>
      <c r="C64" s="235"/>
      <c r="D64" s="235"/>
      <c r="E64" s="235"/>
      <c r="F64" s="235"/>
      <c r="G64" s="235"/>
      <c r="H64" s="235"/>
      <c r="I64" s="235"/>
      <c r="J64" s="235"/>
      <c r="K64" s="235"/>
      <c r="L64" s="235"/>
      <c r="M64" s="235"/>
      <c r="Q64" s="90"/>
    </row>
    <row r="65">
      <c r="B65" s="222"/>
      <c r="C65" s="235"/>
      <c r="D65" s="235"/>
      <c r="E65" s="235"/>
      <c r="F65" s="235"/>
      <c r="G65" s="235"/>
      <c r="H65" s="235"/>
      <c r="I65" s="235"/>
      <c r="J65" s="235"/>
      <c r="K65" s="235"/>
      <c r="L65" s="235"/>
      <c r="M65" s="235"/>
      <c r="Q65" s="90"/>
    </row>
    <row r="66">
      <c r="B66" s="222"/>
      <c r="C66" s="235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Q66" s="90"/>
    </row>
    <row r="67">
      <c r="B67" s="222"/>
      <c r="C67" s="235"/>
      <c r="D67" s="235"/>
      <c r="E67" s="235"/>
      <c r="F67" s="235"/>
      <c r="G67" s="235"/>
      <c r="H67" s="235"/>
      <c r="I67" s="235"/>
      <c r="J67" s="235"/>
      <c r="K67" s="235"/>
      <c r="L67" s="235"/>
      <c r="M67" s="235"/>
      <c r="Q67" s="90"/>
    </row>
    <row r="68">
      <c r="B68" s="222"/>
      <c r="C68" s="235"/>
      <c r="D68" s="235"/>
      <c r="E68" s="235"/>
      <c r="F68" s="235"/>
      <c r="G68" s="235"/>
      <c r="H68" s="235"/>
      <c r="I68" s="235"/>
      <c r="J68" s="235"/>
      <c r="K68" s="235"/>
      <c r="L68" s="235"/>
      <c r="M68" s="235"/>
      <c r="Q68" s="90"/>
    </row>
    <row r="69">
      <c r="B69" s="222"/>
      <c r="C69" s="235"/>
      <c r="D69" s="235"/>
      <c r="E69" s="235"/>
      <c r="F69" s="235"/>
      <c r="G69" s="235"/>
      <c r="H69" s="235"/>
      <c r="I69" s="235"/>
      <c r="J69" s="235"/>
      <c r="K69" s="235"/>
      <c r="L69" s="235"/>
      <c r="M69" s="235"/>
      <c r="Q69" s="90"/>
    </row>
    <row r="70">
      <c r="B70" s="222"/>
      <c r="C70" s="235"/>
      <c r="D70" s="235"/>
      <c r="E70" s="235"/>
      <c r="F70" s="235"/>
      <c r="G70" s="235"/>
      <c r="H70" s="235"/>
      <c r="I70" s="235"/>
      <c r="J70" s="235"/>
      <c r="K70" s="235"/>
      <c r="L70" s="235"/>
      <c r="M70" s="235"/>
      <c r="Q70" s="90"/>
    </row>
    <row r="71">
      <c r="B71" s="222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Q71" s="90"/>
    </row>
    <row r="72">
      <c r="B72" s="222"/>
      <c r="C72" s="235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Q72" s="90"/>
    </row>
    <row r="73">
      <c r="B73" s="222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</row>
    <row r="74">
      <c r="B74" s="90"/>
      <c r="Q74" s="90"/>
    </row>
    <row r="75">
      <c r="B75" s="90"/>
      <c r="K75" s="2" t="s">
        <v>168</v>
      </c>
      <c r="Q75" s="90"/>
    </row>
    <row r="76">
      <c r="B76" s="90"/>
      <c r="Q76" s="90"/>
    </row>
    <row r="77">
      <c r="B77" s="90"/>
      <c r="Q77" s="90"/>
    </row>
    <row r="78">
      <c r="B78" s="90"/>
      <c r="Q78" s="90"/>
    </row>
    <row r="79">
      <c r="B79" s="90"/>
      <c r="Q79" s="90"/>
    </row>
    <row r="80">
      <c r="B80" s="90"/>
      <c r="Q80" s="90"/>
    </row>
    <row r="81">
      <c r="B81" s="90"/>
      <c r="Q81" s="90"/>
    </row>
    <row r="82">
      <c r="B82" s="90"/>
      <c r="Q82" s="90"/>
    </row>
    <row r="83">
      <c r="B83" s="90"/>
      <c r="Q83" s="90"/>
    </row>
    <row r="84">
      <c r="B84" s="90"/>
      <c r="Q84" s="90"/>
    </row>
    <row r="85">
      <c r="B85" s="90"/>
      <c r="Q85" s="90"/>
    </row>
    <row r="86">
      <c r="B86" s="90"/>
      <c r="Q86" s="90"/>
    </row>
    <row r="87">
      <c r="B87" s="90"/>
      <c r="Q87" s="90"/>
    </row>
    <row r="88">
      <c r="B88" s="90"/>
      <c r="Q88" s="90"/>
    </row>
    <row r="89">
      <c r="B89" s="90"/>
      <c r="Q89" s="90"/>
    </row>
    <row r="90">
      <c r="B90" s="90"/>
      <c r="Q90" s="90"/>
    </row>
    <row r="91">
      <c r="B91" s="90"/>
      <c r="Q91" s="90"/>
    </row>
    <row r="92">
      <c r="B92" s="90"/>
      <c r="Q92" s="90"/>
    </row>
    <row r="93">
      <c r="B93" s="90"/>
      <c r="Q93" s="90"/>
    </row>
    <row r="94">
      <c r="B94" s="90"/>
      <c r="Q94" s="90"/>
    </row>
    <row r="95">
      <c r="B95" s="90"/>
      <c r="Q95" s="90"/>
    </row>
    <row r="96">
      <c r="B96" s="90"/>
      <c r="Q96" s="90"/>
    </row>
    <row r="97">
      <c r="B97" s="90"/>
      <c r="Q97" s="90"/>
    </row>
    <row r="98">
      <c r="B98" s="90"/>
      <c r="Q98" s="90"/>
    </row>
    <row r="99">
      <c r="B99" s="90"/>
      <c r="Q99" s="90"/>
    </row>
    <row r="100">
      <c r="B100" s="90"/>
      <c r="Q100" s="90"/>
    </row>
    <row r="101">
      <c r="B101" s="90"/>
      <c r="Q101" s="90"/>
    </row>
    <row r="102">
      <c r="B102" s="90"/>
      <c r="Q102" s="90"/>
    </row>
    <row r="103">
      <c r="B103" s="90"/>
      <c r="Q103" s="90"/>
    </row>
    <row r="104">
      <c r="B104" s="90"/>
      <c r="Q104" s="90"/>
    </row>
    <row r="105">
      <c r="B105" s="90"/>
      <c r="Q105" s="90"/>
    </row>
    <row r="106">
      <c r="B106" s="90"/>
      <c r="Q106" s="90"/>
    </row>
    <row r="107">
      <c r="B107" s="90"/>
      <c r="Q107" s="90"/>
    </row>
    <row r="108">
      <c r="B108" s="90"/>
      <c r="Q108" s="90"/>
    </row>
    <row r="109">
      <c r="B109" s="90"/>
      <c r="Q109" s="90"/>
    </row>
    <row r="110">
      <c r="B110" s="90"/>
      <c r="Q110" s="90"/>
    </row>
    <row r="111">
      <c r="B111" s="90"/>
      <c r="Q111" s="90"/>
    </row>
    <row r="112">
      <c r="B112" s="90"/>
      <c r="Q112" s="90"/>
    </row>
    <row r="113">
      <c r="B113" s="90"/>
      <c r="Q113" s="90"/>
    </row>
    <row r="114">
      <c r="B114" s="90"/>
      <c r="Q114" s="90"/>
    </row>
    <row r="115">
      <c r="B115" s="90"/>
      <c r="Q115" s="90"/>
    </row>
    <row r="116">
      <c r="B116" s="90"/>
      <c r="Q116" s="90"/>
    </row>
    <row r="117">
      <c r="B117" s="90"/>
      <c r="Q117" s="90"/>
    </row>
    <row r="118">
      <c r="B118" s="90"/>
      <c r="Q118" s="90"/>
    </row>
    <row r="119">
      <c r="B119" s="90"/>
      <c r="Q119" s="90"/>
    </row>
    <row r="120">
      <c r="B120" s="90"/>
      <c r="Q120" s="90"/>
    </row>
    <row r="121">
      <c r="B121" s="90"/>
      <c r="Q121" s="90"/>
    </row>
    <row r="122">
      <c r="B122" s="90"/>
      <c r="Q122" s="90"/>
    </row>
    <row r="123">
      <c r="B123" s="90"/>
      <c r="Q123" s="90"/>
    </row>
    <row r="124">
      <c r="B124" s="90"/>
      <c r="Q124" s="90"/>
    </row>
    <row r="125">
      <c r="B125" s="90"/>
      <c r="Q125" s="90"/>
    </row>
    <row r="126">
      <c r="B126" s="90"/>
      <c r="Q126" s="90"/>
    </row>
    <row r="127">
      <c r="B127" s="90"/>
      <c r="Q127" s="90"/>
    </row>
    <row r="128">
      <c r="B128" s="90"/>
      <c r="Q128" s="90"/>
    </row>
    <row r="129">
      <c r="B129" s="90"/>
      <c r="Q129" s="90"/>
    </row>
    <row r="130">
      <c r="B130" s="90"/>
      <c r="Q130" s="90"/>
    </row>
    <row r="131">
      <c r="B131" s="90"/>
      <c r="Q131" s="90"/>
    </row>
    <row r="132">
      <c r="B132" s="90"/>
      <c r="Q132" s="90"/>
    </row>
    <row r="133">
      <c r="B133" s="90"/>
      <c r="Q133" s="90"/>
    </row>
    <row r="134">
      <c r="B134" s="90"/>
      <c r="Q134" s="90"/>
    </row>
    <row r="135">
      <c r="B135" s="90"/>
      <c r="Q135" s="90"/>
    </row>
    <row r="136">
      <c r="B136" s="90"/>
      <c r="Q136" s="90"/>
    </row>
    <row r="137">
      <c r="B137" s="90"/>
      <c r="Q137" s="90"/>
    </row>
    <row r="138">
      <c r="B138" s="90"/>
      <c r="Q138" s="90"/>
    </row>
    <row r="139">
      <c r="B139" s="90"/>
      <c r="Q139" s="90"/>
    </row>
    <row r="140">
      <c r="B140" s="90"/>
      <c r="Q140" s="90"/>
    </row>
    <row r="141">
      <c r="B141" s="90"/>
      <c r="Q141" s="90"/>
    </row>
    <row r="142">
      <c r="B142" s="90"/>
      <c r="Q142" s="90"/>
    </row>
    <row r="143">
      <c r="B143" s="90"/>
      <c r="Q143" s="90"/>
    </row>
    <row r="144">
      <c r="B144" s="90"/>
      <c r="Q144" s="90"/>
    </row>
    <row r="145">
      <c r="B145" s="90"/>
      <c r="Q145" s="90"/>
    </row>
    <row r="146">
      <c r="B146" s="90"/>
      <c r="Q146" s="90"/>
    </row>
    <row r="147">
      <c r="B147" s="90"/>
      <c r="Q147" s="90"/>
    </row>
    <row r="148">
      <c r="B148" s="90"/>
      <c r="Q148" s="90"/>
    </row>
    <row r="149">
      <c r="B149" s="90"/>
      <c r="Q149" s="90"/>
    </row>
    <row r="150">
      <c r="B150" s="90"/>
      <c r="Q150" s="90"/>
    </row>
    <row r="151">
      <c r="B151" s="90"/>
      <c r="Q151" s="90"/>
    </row>
    <row r="152">
      <c r="B152" s="90"/>
      <c r="Q152" s="90"/>
    </row>
    <row r="153">
      <c r="B153" s="90"/>
      <c r="Q153" s="90"/>
    </row>
    <row r="154">
      <c r="B154" s="90"/>
      <c r="Q154" s="90"/>
    </row>
    <row r="155">
      <c r="B155" s="90"/>
      <c r="Q155" s="90"/>
    </row>
    <row r="156">
      <c r="B156" s="90"/>
      <c r="Q156" s="90"/>
    </row>
    <row r="157">
      <c r="B157" s="90"/>
      <c r="Q157" s="90"/>
    </row>
    <row r="158">
      <c r="B158" s="90"/>
      <c r="Q158" s="90"/>
    </row>
    <row r="159">
      <c r="B159" s="90"/>
      <c r="Q159" s="90"/>
    </row>
    <row r="160">
      <c r="B160" s="90"/>
      <c r="Q160" s="90"/>
    </row>
    <row r="161">
      <c r="B161" s="90"/>
      <c r="Q161" s="90"/>
    </row>
    <row r="162">
      <c r="B162" s="90"/>
      <c r="Q162" s="90"/>
    </row>
    <row r="163">
      <c r="B163" s="90"/>
      <c r="Q163" s="90"/>
    </row>
    <row r="164">
      <c r="B164" s="90"/>
      <c r="Q164" s="90"/>
    </row>
    <row r="165">
      <c r="B165" s="90"/>
      <c r="Q165" s="90"/>
    </row>
    <row r="166">
      <c r="B166" s="90"/>
      <c r="Q166" s="90"/>
    </row>
    <row r="167">
      <c r="B167" s="90"/>
      <c r="Q167" s="90"/>
    </row>
    <row r="168">
      <c r="B168" s="90"/>
      <c r="Q168" s="90"/>
    </row>
    <row r="169">
      <c r="B169" s="90"/>
      <c r="Q169" s="90"/>
    </row>
    <row r="170">
      <c r="B170" s="90"/>
      <c r="Q170" s="90"/>
    </row>
    <row r="171">
      <c r="B171" s="90"/>
      <c r="Q171" s="90"/>
    </row>
    <row r="172">
      <c r="B172" s="90"/>
      <c r="Q172" s="90"/>
    </row>
    <row r="173">
      <c r="B173" s="90"/>
      <c r="Q173" s="90"/>
    </row>
    <row r="174">
      <c r="B174" s="90"/>
      <c r="Q174" s="90"/>
    </row>
    <row r="175">
      <c r="B175" s="90"/>
      <c r="Q175" s="90"/>
    </row>
    <row r="176">
      <c r="B176" s="90"/>
      <c r="Q176" s="90"/>
    </row>
    <row r="177">
      <c r="B177" s="90"/>
      <c r="Q177" s="90"/>
    </row>
    <row r="178">
      <c r="B178" s="90"/>
      <c r="Q178" s="90"/>
    </row>
    <row r="179">
      <c r="B179" s="90"/>
      <c r="Q179" s="90"/>
    </row>
    <row r="180">
      <c r="B180" s="90"/>
      <c r="Q180" s="90"/>
    </row>
    <row r="181">
      <c r="B181" s="90"/>
      <c r="Q181" s="90"/>
    </row>
    <row r="182">
      <c r="B182" s="90"/>
      <c r="Q182" s="90"/>
    </row>
    <row r="183">
      <c r="B183" s="90"/>
      <c r="Q183" s="90"/>
    </row>
    <row r="184">
      <c r="B184" s="90"/>
      <c r="Q184" s="90"/>
    </row>
    <row r="185">
      <c r="B185" s="90"/>
      <c r="Q185" s="90"/>
    </row>
    <row r="186">
      <c r="B186" s="90"/>
      <c r="Q186" s="90"/>
    </row>
    <row r="187">
      <c r="B187" s="90"/>
      <c r="Q187" s="90"/>
    </row>
    <row r="188">
      <c r="B188" s="90"/>
      <c r="Q188" s="90"/>
    </row>
    <row r="189">
      <c r="B189" s="90"/>
      <c r="Q189" s="90"/>
    </row>
    <row r="190">
      <c r="B190" s="90"/>
      <c r="Q190" s="90"/>
    </row>
    <row r="191">
      <c r="B191" s="90"/>
      <c r="Q191" s="90"/>
    </row>
    <row r="192">
      <c r="B192" s="90"/>
      <c r="Q192" s="90"/>
    </row>
    <row r="193">
      <c r="B193" s="90"/>
      <c r="Q193" s="90"/>
    </row>
    <row r="194">
      <c r="B194" s="90"/>
      <c r="Q194" s="90"/>
    </row>
    <row r="195">
      <c r="B195" s="90"/>
      <c r="Q195" s="90"/>
    </row>
    <row r="196">
      <c r="B196" s="90"/>
      <c r="Q196" s="90"/>
    </row>
    <row r="197">
      <c r="B197" s="90"/>
      <c r="Q197" s="90"/>
    </row>
    <row r="198">
      <c r="B198" s="90"/>
      <c r="Q198" s="90"/>
    </row>
    <row r="199">
      <c r="B199" s="90"/>
      <c r="Q199" s="90"/>
    </row>
    <row r="200">
      <c r="B200" s="90"/>
      <c r="Q200" s="90"/>
    </row>
    <row r="201">
      <c r="B201" s="90"/>
      <c r="Q201" s="90"/>
    </row>
    <row r="202">
      <c r="B202" s="90"/>
      <c r="Q202" s="90"/>
    </row>
    <row r="203">
      <c r="B203" s="90"/>
      <c r="Q203" s="90"/>
    </row>
    <row r="204">
      <c r="B204" s="90"/>
      <c r="Q204" s="90"/>
    </row>
    <row r="205">
      <c r="B205" s="90"/>
      <c r="Q205" s="90"/>
    </row>
    <row r="206">
      <c r="B206" s="90"/>
      <c r="Q206" s="90"/>
    </row>
    <row r="207">
      <c r="B207" s="90"/>
      <c r="Q207" s="90"/>
    </row>
    <row r="208">
      <c r="B208" s="90"/>
      <c r="Q208" s="90"/>
    </row>
    <row r="209">
      <c r="B209" s="90"/>
      <c r="Q209" s="90"/>
    </row>
    <row r="210">
      <c r="B210" s="90"/>
      <c r="Q210" s="90"/>
    </row>
    <row r="211">
      <c r="B211" s="90"/>
      <c r="Q211" s="90"/>
    </row>
    <row r="212">
      <c r="B212" s="90"/>
      <c r="Q212" s="90"/>
    </row>
    <row r="213">
      <c r="B213" s="90"/>
      <c r="Q213" s="90"/>
    </row>
    <row r="214">
      <c r="B214" s="90"/>
      <c r="Q214" s="90"/>
    </row>
    <row r="215">
      <c r="B215" s="90"/>
      <c r="Q215" s="90"/>
    </row>
    <row r="216">
      <c r="B216" s="90"/>
      <c r="Q216" s="90"/>
    </row>
    <row r="217">
      <c r="B217" s="90"/>
      <c r="Q217" s="90"/>
    </row>
    <row r="218">
      <c r="B218" s="90"/>
      <c r="Q218" s="90"/>
    </row>
    <row r="219">
      <c r="B219" s="90"/>
      <c r="Q219" s="90"/>
    </row>
    <row r="220">
      <c r="B220" s="90"/>
      <c r="Q220" s="90"/>
    </row>
    <row r="221">
      <c r="B221" s="90"/>
      <c r="Q221" s="90"/>
    </row>
    <row r="222">
      <c r="B222" s="90"/>
      <c r="Q222" s="90"/>
    </row>
    <row r="223">
      <c r="B223" s="90"/>
      <c r="Q223" s="90"/>
    </row>
    <row r="224">
      <c r="B224" s="90"/>
      <c r="Q224" s="90"/>
    </row>
    <row r="225">
      <c r="B225" s="90"/>
      <c r="Q225" s="90"/>
    </row>
    <row r="226">
      <c r="B226" s="90"/>
      <c r="Q226" s="90"/>
    </row>
    <row r="227">
      <c r="B227" s="90"/>
      <c r="Q227" s="90"/>
    </row>
    <row r="228">
      <c r="B228" s="90"/>
      <c r="Q228" s="90"/>
    </row>
    <row r="229">
      <c r="B229" s="90"/>
      <c r="Q229" s="90"/>
    </row>
    <row r="230">
      <c r="B230" s="90"/>
      <c r="Q230" s="90"/>
    </row>
    <row r="231">
      <c r="B231" s="90"/>
      <c r="Q231" s="90"/>
    </row>
    <row r="232">
      <c r="B232" s="90"/>
      <c r="Q232" s="90"/>
    </row>
    <row r="233">
      <c r="B233" s="90"/>
      <c r="Q233" s="90"/>
    </row>
    <row r="234">
      <c r="B234" s="90"/>
      <c r="Q234" s="90"/>
    </row>
    <row r="235">
      <c r="B235" s="90"/>
      <c r="Q235" s="90"/>
    </row>
    <row r="236">
      <c r="B236" s="90"/>
      <c r="Q236" s="90"/>
    </row>
    <row r="237">
      <c r="B237" s="90"/>
      <c r="Q237" s="90"/>
    </row>
    <row r="238">
      <c r="B238" s="90"/>
      <c r="Q238" s="90"/>
    </row>
    <row r="239">
      <c r="B239" s="90"/>
      <c r="Q239" s="90"/>
    </row>
    <row r="240">
      <c r="B240" s="90"/>
      <c r="Q240" s="90"/>
    </row>
    <row r="241">
      <c r="B241" s="90"/>
      <c r="Q241" s="90"/>
    </row>
    <row r="242">
      <c r="B242" s="90"/>
      <c r="Q242" s="90"/>
    </row>
    <row r="243">
      <c r="B243" s="90"/>
      <c r="Q243" s="90"/>
    </row>
    <row r="244">
      <c r="B244" s="90"/>
      <c r="Q244" s="90"/>
    </row>
    <row r="245">
      <c r="B245" s="90"/>
      <c r="Q245" s="90"/>
    </row>
    <row r="246">
      <c r="B246" s="90"/>
      <c r="Q246" s="90"/>
    </row>
    <row r="247">
      <c r="B247" s="90"/>
      <c r="Q247" s="90"/>
    </row>
    <row r="248">
      <c r="B248" s="90"/>
      <c r="Q248" s="90"/>
    </row>
    <row r="249">
      <c r="B249" s="90"/>
      <c r="Q249" s="90"/>
    </row>
    <row r="250">
      <c r="B250" s="90"/>
      <c r="Q250" s="90"/>
    </row>
    <row r="251">
      <c r="B251" s="90"/>
      <c r="Q251" s="90"/>
    </row>
    <row r="252">
      <c r="B252" s="90"/>
      <c r="Q252" s="90"/>
    </row>
    <row r="253">
      <c r="B253" s="90"/>
      <c r="Q253" s="90"/>
    </row>
    <row r="254">
      <c r="B254" s="90"/>
      <c r="Q254" s="90"/>
    </row>
    <row r="255">
      <c r="B255" s="90"/>
      <c r="Q255" s="90"/>
    </row>
    <row r="256">
      <c r="B256" s="90"/>
      <c r="Q256" s="90"/>
    </row>
    <row r="257">
      <c r="B257" s="90"/>
      <c r="Q257" s="90"/>
    </row>
    <row r="258">
      <c r="B258" s="90"/>
      <c r="Q258" s="90"/>
    </row>
    <row r="259">
      <c r="B259" s="90"/>
      <c r="Q259" s="90"/>
    </row>
    <row r="260">
      <c r="B260" s="90"/>
      <c r="Q260" s="90"/>
    </row>
    <row r="261">
      <c r="B261" s="90"/>
      <c r="Q261" s="90"/>
    </row>
    <row r="262">
      <c r="B262" s="90"/>
      <c r="Q262" s="90"/>
    </row>
    <row r="263">
      <c r="B263" s="90"/>
      <c r="Q263" s="90"/>
    </row>
    <row r="264">
      <c r="B264" s="90"/>
      <c r="Q264" s="90"/>
    </row>
    <row r="265">
      <c r="B265" s="90"/>
      <c r="Q265" s="90"/>
    </row>
    <row r="266">
      <c r="B266" s="90"/>
      <c r="Q266" s="90"/>
    </row>
    <row r="267">
      <c r="B267" s="90"/>
      <c r="Q267" s="90"/>
    </row>
    <row r="268">
      <c r="B268" s="90"/>
      <c r="Q268" s="90"/>
    </row>
    <row r="269">
      <c r="B269" s="90"/>
      <c r="Q269" s="90"/>
    </row>
    <row r="270">
      <c r="B270" s="90"/>
      <c r="Q270" s="90"/>
    </row>
    <row r="271">
      <c r="B271" s="90"/>
      <c r="Q271" s="90"/>
    </row>
    <row r="272">
      <c r="B272" s="90"/>
      <c r="Q272" s="90"/>
    </row>
    <row r="273">
      <c r="B273" s="90"/>
      <c r="Q273" s="90"/>
    </row>
    <row r="274">
      <c r="B274" s="90"/>
      <c r="Q274" s="90"/>
    </row>
    <row r="275">
      <c r="B275" s="90"/>
      <c r="Q275" s="90"/>
    </row>
    <row r="276">
      <c r="B276" s="90"/>
      <c r="Q276" s="90"/>
    </row>
    <row r="277">
      <c r="B277" s="90"/>
      <c r="Q277" s="90"/>
    </row>
    <row r="278">
      <c r="B278" s="90"/>
      <c r="Q278" s="90"/>
    </row>
    <row r="279">
      <c r="B279" s="90"/>
      <c r="Q279" s="90"/>
    </row>
    <row r="280">
      <c r="B280" s="90"/>
      <c r="Q280" s="90"/>
    </row>
    <row r="281">
      <c r="B281" s="90"/>
      <c r="Q281" s="90"/>
    </row>
    <row r="282">
      <c r="B282" s="90"/>
      <c r="Q282" s="90"/>
    </row>
    <row r="283">
      <c r="B283" s="90"/>
      <c r="Q283" s="90"/>
    </row>
    <row r="284">
      <c r="B284" s="90"/>
      <c r="Q284" s="90"/>
    </row>
    <row r="285">
      <c r="B285" s="90"/>
      <c r="Q285" s="90"/>
    </row>
    <row r="286">
      <c r="B286" s="90"/>
      <c r="Q286" s="90"/>
    </row>
    <row r="287">
      <c r="B287" s="90"/>
      <c r="Q287" s="90"/>
    </row>
    <row r="288">
      <c r="B288" s="90"/>
      <c r="Q288" s="90"/>
    </row>
    <row r="289">
      <c r="B289" s="90"/>
      <c r="Q289" s="90"/>
    </row>
    <row r="290">
      <c r="B290" s="90"/>
      <c r="Q290" s="90"/>
    </row>
    <row r="291">
      <c r="B291" s="90"/>
      <c r="Q291" s="90"/>
    </row>
    <row r="292">
      <c r="B292" s="90"/>
      <c r="Q292" s="90"/>
    </row>
    <row r="293">
      <c r="B293" s="90"/>
      <c r="Q293" s="90"/>
    </row>
    <row r="294">
      <c r="B294" s="90"/>
      <c r="Q294" s="90"/>
    </row>
    <row r="295">
      <c r="B295" s="90"/>
      <c r="Q295" s="90"/>
    </row>
    <row r="296">
      <c r="B296" s="90"/>
      <c r="Q296" s="90"/>
    </row>
    <row r="297">
      <c r="B297" s="90"/>
      <c r="Q297" s="90"/>
    </row>
    <row r="298">
      <c r="B298" s="90"/>
      <c r="Q298" s="90"/>
    </row>
    <row r="299">
      <c r="B299" s="90"/>
      <c r="Q299" s="90"/>
    </row>
    <row r="300">
      <c r="B300" s="90"/>
      <c r="Q300" s="90"/>
    </row>
    <row r="301">
      <c r="B301" s="90"/>
      <c r="Q301" s="90"/>
    </row>
    <row r="302">
      <c r="B302" s="90"/>
      <c r="Q302" s="90"/>
    </row>
    <row r="303">
      <c r="B303" s="90"/>
      <c r="Q303" s="90"/>
    </row>
    <row r="304">
      <c r="B304" s="90"/>
      <c r="Q304" s="90"/>
    </row>
    <row r="305">
      <c r="B305" s="90"/>
      <c r="Q305" s="90"/>
    </row>
    <row r="306">
      <c r="B306" s="90"/>
      <c r="Q306" s="90"/>
    </row>
    <row r="307">
      <c r="B307" s="90"/>
      <c r="Q307" s="90"/>
    </row>
    <row r="308">
      <c r="B308" s="90"/>
      <c r="Q308" s="90"/>
    </row>
    <row r="309">
      <c r="B309" s="90"/>
      <c r="Q309" s="90"/>
    </row>
    <row r="310">
      <c r="B310" s="90"/>
      <c r="Q310" s="90"/>
    </row>
    <row r="311">
      <c r="B311" s="90"/>
      <c r="Q311" s="90"/>
    </row>
    <row r="312">
      <c r="B312" s="90"/>
      <c r="Q312" s="90"/>
    </row>
    <row r="313">
      <c r="B313" s="90"/>
      <c r="Q313" s="90"/>
    </row>
    <row r="314">
      <c r="B314" s="90"/>
      <c r="Q314" s="90"/>
    </row>
    <row r="315">
      <c r="B315" s="90"/>
      <c r="Q315" s="90"/>
    </row>
    <row r="316">
      <c r="B316" s="90"/>
      <c r="Q316" s="90"/>
    </row>
    <row r="317">
      <c r="B317" s="90"/>
      <c r="Q317" s="90"/>
    </row>
    <row r="318">
      <c r="B318" s="90"/>
      <c r="Q318" s="90"/>
    </row>
    <row r="319">
      <c r="B319" s="90"/>
      <c r="Q319" s="90"/>
    </row>
    <row r="320">
      <c r="B320" s="90"/>
      <c r="Q320" s="90"/>
    </row>
    <row r="321">
      <c r="B321" s="90"/>
      <c r="Q321" s="90"/>
    </row>
    <row r="322">
      <c r="B322" s="90"/>
      <c r="Q322" s="90"/>
    </row>
    <row r="323">
      <c r="B323" s="90"/>
      <c r="Q323" s="90"/>
    </row>
    <row r="324">
      <c r="B324" s="90"/>
      <c r="Q324" s="90"/>
    </row>
    <row r="325">
      <c r="B325" s="90"/>
      <c r="Q325" s="90"/>
    </row>
    <row r="326">
      <c r="B326" s="90"/>
      <c r="Q326" s="90"/>
    </row>
    <row r="327">
      <c r="B327" s="90"/>
      <c r="Q327" s="90"/>
    </row>
    <row r="328">
      <c r="B328" s="90"/>
      <c r="Q328" s="90"/>
    </row>
    <row r="329">
      <c r="B329" s="90"/>
      <c r="Q329" s="90"/>
    </row>
    <row r="330">
      <c r="B330" s="90"/>
      <c r="Q330" s="90"/>
    </row>
    <row r="331">
      <c r="B331" s="90"/>
      <c r="Q331" s="90"/>
    </row>
    <row r="332">
      <c r="B332" s="90"/>
      <c r="Q332" s="90"/>
    </row>
    <row r="333">
      <c r="B333" s="90"/>
      <c r="Q333" s="90"/>
    </row>
    <row r="334">
      <c r="B334" s="90"/>
      <c r="Q334" s="90"/>
    </row>
    <row r="335">
      <c r="B335" s="90"/>
      <c r="Q335" s="90"/>
    </row>
    <row r="336">
      <c r="B336" s="90"/>
      <c r="Q336" s="90"/>
    </row>
    <row r="337">
      <c r="B337" s="90"/>
      <c r="Q337" s="90"/>
    </row>
    <row r="338">
      <c r="B338" s="90"/>
      <c r="Q338" s="90"/>
    </row>
    <row r="339">
      <c r="B339" s="90"/>
      <c r="Q339" s="90"/>
    </row>
    <row r="340">
      <c r="B340" s="90"/>
      <c r="Q340" s="90"/>
    </row>
    <row r="341">
      <c r="B341" s="90"/>
      <c r="Q341" s="90"/>
    </row>
    <row r="342">
      <c r="B342" s="90"/>
      <c r="Q342" s="90"/>
    </row>
    <row r="343">
      <c r="B343" s="90"/>
      <c r="Q343" s="90"/>
    </row>
    <row r="344">
      <c r="B344" s="90"/>
      <c r="Q344" s="90"/>
    </row>
    <row r="345">
      <c r="B345" s="90"/>
      <c r="Q345" s="90"/>
    </row>
    <row r="346">
      <c r="B346" s="90"/>
      <c r="Q346" s="90"/>
    </row>
    <row r="347">
      <c r="B347" s="90"/>
      <c r="Q347" s="90"/>
    </row>
    <row r="348">
      <c r="B348" s="90"/>
      <c r="Q348" s="90"/>
    </row>
    <row r="349">
      <c r="B349" s="90"/>
      <c r="Q349" s="90"/>
    </row>
    <row r="350">
      <c r="B350" s="90"/>
      <c r="Q350" s="90"/>
    </row>
    <row r="351">
      <c r="B351" s="90"/>
      <c r="Q351" s="90"/>
    </row>
    <row r="352">
      <c r="B352" s="90"/>
      <c r="Q352" s="90"/>
    </row>
    <row r="353">
      <c r="B353" s="90"/>
      <c r="Q353" s="90"/>
    </row>
    <row r="354">
      <c r="B354" s="90"/>
      <c r="Q354" s="90"/>
    </row>
    <row r="355">
      <c r="B355" s="90"/>
      <c r="Q355" s="90"/>
    </row>
    <row r="356">
      <c r="B356" s="90"/>
      <c r="Q356" s="90"/>
    </row>
    <row r="357">
      <c r="B357" s="90"/>
      <c r="Q357" s="90"/>
    </row>
    <row r="358">
      <c r="B358" s="90"/>
      <c r="Q358" s="90"/>
    </row>
    <row r="359">
      <c r="B359" s="90"/>
      <c r="Q359" s="90"/>
    </row>
    <row r="360">
      <c r="B360" s="90"/>
      <c r="Q360" s="90"/>
    </row>
    <row r="361">
      <c r="B361" s="90"/>
      <c r="Q361" s="90"/>
    </row>
    <row r="362">
      <c r="B362" s="90"/>
      <c r="Q362" s="90"/>
    </row>
    <row r="363">
      <c r="B363" s="90"/>
      <c r="Q363" s="90"/>
    </row>
    <row r="364">
      <c r="B364" s="90"/>
      <c r="Q364" s="90"/>
    </row>
    <row r="365">
      <c r="B365" s="90"/>
      <c r="Q365" s="90"/>
    </row>
    <row r="366">
      <c r="B366" s="90"/>
      <c r="Q366" s="90"/>
    </row>
    <row r="367">
      <c r="B367" s="90"/>
      <c r="Q367" s="90"/>
    </row>
    <row r="368">
      <c r="B368" s="90"/>
      <c r="Q368" s="90"/>
    </row>
    <row r="369">
      <c r="B369" s="90"/>
      <c r="Q369" s="90"/>
    </row>
    <row r="370">
      <c r="B370" s="90"/>
      <c r="Q370" s="90"/>
    </row>
    <row r="371">
      <c r="B371" s="90"/>
      <c r="Q371" s="90"/>
    </row>
    <row r="372">
      <c r="B372" s="90"/>
      <c r="Q372" s="90"/>
    </row>
    <row r="373">
      <c r="B373" s="90"/>
      <c r="Q373" s="90"/>
    </row>
    <row r="374">
      <c r="B374" s="90"/>
      <c r="Q374" s="90"/>
    </row>
    <row r="375">
      <c r="B375" s="90"/>
      <c r="Q375" s="90"/>
    </row>
    <row r="376">
      <c r="B376" s="90"/>
      <c r="Q376" s="90"/>
    </row>
    <row r="377">
      <c r="B377" s="90"/>
      <c r="Q377" s="90"/>
    </row>
    <row r="378">
      <c r="B378" s="90"/>
      <c r="Q378" s="90"/>
    </row>
    <row r="379">
      <c r="B379" s="90"/>
      <c r="Q379" s="90"/>
    </row>
    <row r="380">
      <c r="B380" s="90"/>
      <c r="Q380" s="90"/>
    </row>
    <row r="381">
      <c r="B381" s="90"/>
      <c r="Q381" s="90"/>
    </row>
    <row r="382">
      <c r="B382" s="90"/>
      <c r="Q382" s="90"/>
    </row>
    <row r="383">
      <c r="B383" s="90"/>
      <c r="Q383" s="90"/>
    </row>
    <row r="384">
      <c r="B384" s="90"/>
      <c r="Q384" s="90"/>
    </row>
    <row r="385">
      <c r="B385" s="90"/>
      <c r="Q385" s="90"/>
    </row>
    <row r="386">
      <c r="B386" s="90"/>
      <c r="Q386" s="90"/>
    </row>
    <row r="387">
      <c r="B387" s="90"/>
      <c r="Q387" s="90"/>
    </row>
    <row r="388">
      <c r="B388" s="90"/>
      <c r="Q388" s="90"/>
    </row>
    <row r="389">
      <c r="B389" s="90"/>
      <c r="Q389" s="90"/>
    </row>
    <row r="390">
      <c r="B390" s="90"/>
      <c r="Q390" s="90"/>
    </row>
    <row r="391">
      <c r="B391" s="90"/>
      <c r="Q391" s="90"/>
    </row>
    <row r="392">
      <c r="B392" s="90"/>
      <c r="Q392" s="90"/>
    </row>
    <row r="393">
      <c r="B393" s="90"/>
      <c r="Q393" s="90"/>
    </row>
    <row r="394">
      <c r="B394" s="90"/>
      <c r="Q394" s="90"/>
    </row>
    <row r="395">
      <c r="B395" s="90"/>
      <c r="Q395" s="90"/>
    </row>
    <row r="396">
      <c r="B396" s="90"/>
      <c r="Q396" s="90"/>
    </row>
    <row r="397">
      <c r="B397" s="90"/>
      <c r="Q397" s="90"/>
    </row>
    <row r="398">
      <c r="B398" s="90"/>
      <c r="Q398" s="90"/>
    </row>
    <row r="399">
      <c r="B399" s="90"/>
      <c r="Q399" s="90"/>
    </row>
    <row r="400">
      <c r="B400" s="90"/>
      <c r="Q400" s="90"/>
    </row>
    <row r="401">
      <c r="B401" s="90"/>
      <c r="Q401" s="90"/>
    </row>
    <row r="402">
      <c r="B402" s="90"/>
      <c r="Q402" s="90"/>
    </row>
    <row r="403">
      <c r="B403" s="90"/>
      <c r="Q403" s="90"/>
    </row>
    <row r="404">
      <c r="B404" s="90"/>
      <c r="Q404" s="90"/>
    </row>
    <row r="405">
      <c r="B405" s="90"/>
      <c r="Q405" s="90"/>
    </row>
    <row r="406">
      <c r="B406" s="90"/>
      <c r="Q406" s="90"/>
    </row>
    <row r="407">
      <c r="B407" s="90"/>
      <c r="Q407" s="90"/>
    </row>
    <row r="408">
      <c r="B408" s="90"/>
      <c r="Q408" s="90"/>
    </row>
    <row r="409">
      <c r="B409" s="90"/>
      <c r="Q409" s="90"/>
    </row>
    <row r="410">
      <c r="B410" s="90"/>
      <c r="Q410" s="90"/>
    </row>
    <row r="411">
      <c r="B411" s="90"/>
      <c r="Q411" s="90"/>
    </row>
    <row r="412">
      <c r="B412" s="90"/>
      <c r="Q412" s="90"/>
    </row>
    <row r="413">
      <c r="B413" s="90"/>
      <c r="Q413" s="90"/>
    </row>
    <row r="414">
      <c r="B414" s="90"/>
      <c r="Q414" s="90"/>
    </row>
    <row r="415">
      <c r="B415" s="90"/>
      <c r="Q415" s="90"/>
    </row>
    <row r="416">
      <c r="B416" s="90"/>
      <c r="Q416" s="90"/>
    </row>
    <row r="417">
      <c r="B417" s="90"/>
      <c r="Q417" s="90"/>
    </row>
    <row r="418">
      <c r="B418" s="90"/>
      <c r="Q418" s="90"/>
    </row>
    <row r="419">
      <c r="B419" s="90"/>
      <c r="Q419" s="90"/>
    </row>
    <row r="420">
      <c r="B420" s="90"/>
      <c r="Q420" s="90"/>
    </row>
    <row r="421">
      <c r="B421" s="90"/>
      <c r="Q421" s="90"/>
    </row>
    <row r="422">
      <c r="B422" s="90"/>
      <c r="Q422" s="90"/>
    </row>
    <row r="423">
      <c r="B423" s="90"/>
      <c r="Q423" s="90"/>
    </row>
    <row r="424">
      <c r="B424" s="90"/>
      <c r="Q424" s="90"/>
    </row>
    <row r="425">
      <c r="B425" s="90"/>
      <c r="Q425" s="90"/>
    </row>
    <row r="426">
      <c r="B426" s="90"/>
      <c r="Q426" s="90"/>
    </row>
    <row r="427">
      <c r="B427" s="90"/>
      <c r="Q427" s="90"/>
    </row>
    <row r="428">
      <c r="B428" s="90"/>
      <c r="Q428" s="90"/>
    </row>
    <row r="429">
      <c r="B429" s="90"/>
      <c r="Q429" s="90"/>
    </row>
    <row r="430">
      <c r="B430" s="90"/>
      <c r="Q430" s="90"/>
    </row>
    <row r="431">
      <c r="B431" s="90"/>
      <c r="Q431" s="90"/>
    </row>
    <row r="432">
      <c r="B432" s="90"/>
      <c r="Q432" s="90"/>
    </row>
    <row r="433">
      <c r="B433" s="90"/>
      <c r="Q433" s="90"/>
    </row>
    <row r="434">
      <c r="B434" s="90"/>
      <c r="Q434" s="90"/>
    </row>
    <row r="435">
      <c r="B435" s="90"/>
      <c r="Q435" s="90"/>
    </row>
    <row r="436">
      <c r="B436" s="90"/>
      <c r="Q436" s="90"/>
    </row>
    <row r="437">
      <c r="B437" s="90"/>
      <c r="Q437" s="90"/>
    </row>
    <row r="438">
      <c r="B438" s="90"/>
      <c r="Q438" s="90"/>
    </row>
    <row r="439">
      <c r="B439" s="90"/>
      <c r="Q439" s="90"/>
    </row>
    <row r="440">
      <c r="B440" s="90"/>
      <c r="Q440" s="90"/>
    </row>
    <row r="441">
      <c r="B441" s="90"/>
      <c r="Q441" s="90"/>
    </row>
    <row r="442">
      <c r="B442" s="90"/>
      <c r="Q442" s="90"/>
    </row>
    <row r="443">
      <c r="B443" s="90"/>
      <c r="Q443" s="90"/>
    </row>
    <row r="444">
      <c r="B444" s="90"/>
      <c r="Q444" s="90"/>
    </row>
    <row r="445">
      <c r="B445" s="90"/>
      <c r="Q445" s="90"/>
    </row>
    <row r="446">
      <c r="B446" s="90"/>
      <c r="Q446" s="90"/>
    </row>
    <row r="447">
      <c r="B447" s="90"/>
      <c r="Q447" s="90"/>
    </row>
    <row r="448">
      <c r="B448" s="90"/>
      <c r="Q448" s="90"/>
    </row>
    <row r="449">
      <c r="B449" s="90"/>
      <c r="Q449" s="90"/>
    </row>
    <row r="450">
      <c r="B450" s="90"/>
      <c r="Q450" s="90"/>
    </row>
    <row r="451">
      <c r="B451" s="90"/>
      <c r="Q451" s="90"/>
    </row>
    <row r="452">
      <c r="B452" s="90"/>
      <c r="Q452" s="90"/>
    </row>
    <row r="453">
      <c r="B453" s="90"/>
      <c r="Q453" s="90"/>
    </row>
    <row r="454">
      <c r="B454" s="90"/>
      <c r="Q454" s="90"/>
    </row>
    <row r="455">
      <c r="B455" s="90"/>
      <c r="Q455" s="90"/>
    </row>
    <row r="456">
      <c r="B456" s="90"/>
      <c r="Q456" s="90"/>
    </row>
    <row r="457">
      <c r="B457" s="90"/>
      <c r="Q457" s="90"/>
    </row>
    <row r="458">
      <c r="B458" s="90"/>
      <c r="Q458" s="90"/>
    </row>
    <row r="459">
      <c r="B459" s="90"/>
      <c r="Q459" s="90"/>
    </row>
    <row r="460">
      <c r="B460" s="90"/>
      <c r="Q460" s="90"/>
    </row>
    <row r="461">
      <c r="B461" s="90"/>
      <c r="Q461" s="90"/>
    </row>
    <row r="462">
      <c r="B462" s="90"/>
      <c r="Q462" s="90"/>
    </row>
    <row r="463">
      <c r="B463" s="90"/>
      <c r="Q463" s="90"/>
    </row>
    <row r="464">
      <c r="B464" s="90"/>
      <c r="Q464" s="90"/>
    </row>
    <row r="465">
      <c r="B465" s="90"/>
      <c r="Q465" s="90"/>
    </row>
    <row r="466">
      <c r="B466" s="90"/>
      <c r="Q466" s="90"/>
    </row>
    <row r="467">
      <c r="B467" s="90"/>
      <c r="Q467" s="90"/>
    </row>
    <row r="468">
      <c r="B468" s="90"/>
      <c r="Q468" s="90"/>
    </row>
    <row r="469">
      <c r="B469" s="90"/>
      <c r="Q469" s="90"/>
    </row>
    <row r="470">
      <c r="B470" s="90"/>
      <c r="Q470" s="90"/>
    </row>
    <row r="471">
      <c r="B471" s="90"/>
      <c r="Q471" s="90"/>
    </row>
    <row r="472">
      <c r="B472" s="90"/>
      <c r="Q472" s="90"/>
    </row>
    <row r="473">
      <c r="B473" s="90"/>
      <c r="Q473" s="90"/>
    </row>
    <row r="474">
      <c r="B474" s="90"/>
      <c r="Q474" s="90"/>
    </row>
    <row r="475">
      <c r="B475" s="90"/>
      <c r="Q475" s="90"/>
    </row>
    <row r="476">
      <c r="B476" s="90"/>
      <c r="Q476" s="90"/>
    </row>
    <row r="477">
      <c r="B477" s="90"/>
      <c r="Q477" s="90"/>
    </row>
    <row r="478">
      <c r="B478" s="90"/>
      <c r="Q478" s="90"/>
    </row>
    <row r="479">
      <c r="B479" s="90"/>
      <c r="Q479" s="90"/>
    </row>
    <row r="480">
      <c r="B480" s="90"/>
      <c r="Q480" s="90"/>
    </row>
    <row r="481">
      <c r="B481" s="90"/>
      <c r="Q481" s="90"/>
    </row>
    <row r="482">
      <c r="B482" s="90"/>
      <c r="Q482" s="90"/>
    </row>
    <row r="483">
      <c r="B483" s="90"/>
      <c r="Q483" s="90"/>
    </row>
    <row r="484">
      <c r="B484" s="90"/>
      <c r="Q484" s="90"/>
    </row>
    <row r="485">
      <c r="B485" s="90"/>
      <c r="Q485" s="90"/>
    </row>
    <row r="486">
      <c r="B486" s="90"/>
      <c r="Q486" s="90"/>
    </row>
    <row r="487">
      <c r="B487" s="90"/>
      <c r="Q487" s="90"/>
    </row>
    <row r="488">
      <c r="B488" s="90"/>
      <c r="Q488" s="90"/>
    </row>
    <row r="489">
      <c r="B489" s="90"/>
      <c r="Q489" s="90"/>
    </row>
    <row r="490">
      <c r="B490" s="90"/>
      <c r="Q490" s="90"/>
    </row>
    <row r="491">
      <c r="B491" s="90"/>
      <c r="Q491" s="90"/>
    </row>
    <row r="492">
      <c r="B492" s="90"/>
      <c r="Q492" s="90"/>
    </row>
    <row r="493">
      <c r="B493" s="90"/>
      <c r="Q493" s="90"/>
    </row>
    <row r="494">
      <c r="B494" s="90"/>
      <c r="Q494" s="90"/>
    </row>
    <row r="495">
      <c r="B495" s="90"/>
      <c r="Q495" s="90"/>
    </row>
    <row r="496">
      <c r="B496" s="90"/>
      <c r="Q496" s="90"/>
    </row>
    <row r="497">
      <c r="B497" s="90"/>
      <c r="Q497" s="90"/>
    </row>
    <row r="498">
      <c r="B498" s="90"/>
      <c r="Q498" s="90"/>
    </row>
    <row r="499">
      <c r="B499" s="90"/>
      <c r="Q499" s="90"/>
    </row>
    <row r="500">
      <c r="B500" s="90"/>
      <c r="Q500" s="90"/>
    </row>
    <row r="501">
      <c r="B501" s="90"/>
      <c r="Q501" s="90"/>
    </row>
    <row r="502">
      <c r="B502" s="90"/>
      <c r="Q502" s="90"/>
    </row>
    <row r="503">
      <c r="B503" s="90"/>
      <c r="Q503" s="90"/>
    </row>
    <row r="504">
      <c r="B504" s="90"/>
      <c r="Q504" s="90"/>
    </row>
    <row r="505">
      <c r="B505" s="90"/>
      <c r="Q505" s="90"/>
    </row>
    <row r="506">
      <c r="B506" s="90"/>
      <c r="Q506" s="90"/>
    </row>
    <row r="507">
      <c r="B507" s="90"/>
      <c r="Q507" s="90"/>
    </row>
    <row r="508">
      <c r="B508" s="90"/>
      <c r="Q508" s="90"/>
    </row>
    <row r="509">
      <c r="B509" s="90"/>
      <c r="Q509" s="90"/>
    </row>
    <row r="510">
      <c r="B510" s="90"/>
      <c r="Q510" s="90"/>
    </row>
    <row r="511">
      <c r="B511" s="90"/>
      <c r="Q511" s="90"/>
    </row>
    <row r="512">
      <c r="B512" s="90"/>
      <c r="Q512" s="90"/>
    </row>
    <row r="513">
      <c r="B513" s="90"/>
      <c r="Q513" s="90"/>
    </row>
    <row r="514">
      <c r="B514" s="90"/>
      <c r="Q514" s="90"/>
    </row>
    <row r="515">
      <c r="B515" s="90"/>
      <c r="Q515" s="90"/>
    </row>
    <row r="516">
      <c r="B516" s="90"/>
      <c r="Q516" s="90"/>
    </row>
    <row r="517">
      <c r="B517" s="90"/>
      <c r="Q517" s="90"/>
    </row>
    <row r="518">
      <c r="B518" s="90"/>
      <c r="Q518" s="90"/>
    </row>
    <row r="519">
      <c r="B519" s="90"/>
      <c r="Q519" s="90"/>
    </row>
    <row r="520">
      <c r="B520" s="90"/>
      <c r="Q520" s="90"/>
    </row>
    <row r="521">
      <c r="B521" s="90"/>
      <c r="Q521" s="90"/>
    </row>
    <row r="522">
      <c r="B522" s="90"/>
      <c r="Q522" s="90"/>
    </row>
    <row r="523">
      <c r="B523" s="90"/>
      <c r="Q523" s="90"/>
    </row>
    <row r="524">
      <c r="B524" s="90"/>
      <c r="Q524" s="90"/>
    </row>
    <row r="525">
      <c r="B525" s="90"/>
      <c r="Q525" s="90"/>
    </row>
    <row r="526">
      <c r="B526" s="90"/>
      <c r="Q526" s="90"/>
    </row>
    <row r="527">
      <c r="B527" s="90"/>
      <c r="Q527" s="90"/>
    </row>
    <row r="528">
      <c r="B528" s="90"/>
      <c r="Q528" s="90"/>
    </row>
    <row r="529">
      <c r="B529" s="90"/>
      <c r="Q529" s="90"/>
    </row>
    <row r="530">
      <c r="B530" s="90"/>
      <c r="Q530" s="90"/>
    </row>
    <row r="531">
      <c r="B531" s="90"/>
      <c r="Q531" s="90"/>
    </row>
    <row r="532">
      <c r="B532" s="90"/>
      <c r="Q532" s="90"/>
    </row>
    <row r="533">
      <c r="B533" s="90"/>
      <c r="Q533" s="90"/>
    </row>
    <row r="534">
      <c r="B534" s="90"/>
      <c r="Q534" s="90"/>
    </row>
    <row r="535">
      <c r="B535" s="90"/>
      <c r="Q535" s="90"/>
    </row>
    <row r="536">
      <c r="B536" s="90"/>
      <c r="Q536" s="90"/>
    </row>
    <row r="537">
      <c r="B537" s="90"/>
      <c r="Q537" s="90"/>
    </row>
    <row r="538">
      <c r="B538" s="90"/>
      <c r="Q538" s="90"/>
    </row>
    <row r="539">
      <c r="B539" s="90"/>
      <c r="Q539" s="90"/>
    </row>
    <row r="540">
      <c r="B540" s="90"/>
      <c r="Q540" s="90"/>
    </row>
    <row r="541">
      <c r="B541" s="90"/>
      <c r="Q541" s="90"/>
    </row>
    <row r="542">
      <c r="B542" s="90"/>
      <c r="Q542" s="90"/>
    </row>
    <row r="543">
      <c r="B543" s="90"/>
      <c r="Q543" s="90"/>
    </row>
    <row r="544">
      <c r="B544" s="90"/>
      <c r="Q544" s="90"/>
    </row>
    <row r="545">
      <c r="B545" s="90"/>
      <c r="Q545" s="90"/>
    </row>
    <row r="546">
      <c r="B546" s="90"/>
      <c r="Q546" s="90"/>
    </row>
    <row r="547">
      <c r="B547" s="90"/>
      <c r="Q547" s="90"/>
    </row>
    <row r="548">
      <c r="B548" s="90"/>
      <c r="Q548" s="90"/>
    </row>
    <row r="549">
      <c r="B549" s="90"/>
      <c r="Q549" s="90"/>
    </row>
    <row r="550">
      <c r="B550" s="90"/>
      <c r="Q550" s="90"/>
    </row>
    <row r="551">
      <c r="B551" s="90"/>
      <c r="Q551" s="90"/>
    </row>
    <row r="552">
      <c r="B552" s="90"/>
      <c r="Q552" s="90"/>
    </row>
    <row r="553">
      <c r="B553" s="90"/>
      <c r="Q553" s="90"/>
    </row>
    <row r="554">
      <c r="B554" s="90"/>
      <c r="Q554" s="90"/>
    </row>
    <row r="555">
      <c r="B555" s="90"/>
      <c r="Q555" s="90"/>
    </row>
    <row r="556">
      <c r="B556" s="90"/>
      <c r="Q556" s="90"/>
    </row>
    <row r="557">
      <c r="B557" s="90"/>
      <c r="Q557" s="90"/>
    </row>
    <row r="558">
      <c r="B558" s="90"/>
      <c r="Q558" s="90"/>
    </row>
    <row r="559">
      <c r="B559" s="90"/>
      <c r="Q559" s="90"/>
    </row>
    <row r="560">
      <c r="B560" s="90"/>
      <c r="Q560" s="90"/>
    </row>
    <row r="561">
      <c r="B561" s="90"/>
      <c r="Q561" s="90"/>
    </row>
    <row r="562">
      <c r="B562" s="90"/>
      <c r="Q562" s="90"/>
    </row>
    <row r="563">
      <c r="B563" s="90"/>
      <c r="Q563" s="90"/>
    </row>
    <row r="564">
      <c r="B564" s="90"/>
      <c r="Q564" s="90"/>
    </row>
    <row r="565">
      <c r="B565" s="90"/>
      <c r="Q565" s="90"/>
    </row>
    <row r="566">
      <c r="B566" s="90"/>
      <c r="Q566" s="90"/>
    </row>
    <row r="567">
      <c r="B567" s="90"/>
      <c r="Q567" s="90"/>
    </row>
    <row r="568">
      <c r="B568" s="90"/>
      <c r="Q568" s="90"/>
    </row>
    <row r="569">
      <c r="B569" s="90"/>
      <c r="Q569" s="90"/>
    </row>
    <row r="570">
      <c r="B570" s="90"/>
      <c r="Q570" s="90"/>
    </row>
    <row r="571">
      <c r="B571" s="90"/>
      <c r="Q571" s="90"/>
    </row>
    <row r="572">
      <c r="B572" s="90"/>
      <c r="Q572" s="90"/>
    </row>
    <row r="573">
      <c r="B573" s="90"/>
      <c r="Q573" s="90"/>
    </row>
    <row r="574">
      <c r="B574" s="90"/>
      <c r="Q574" s="90"/>
    </row>
    <row r="575">
      <c r="B575" s="90"/>
      <c r="Q575" s="90"/>
    </row>
    <row r="576">
      <c r="B576" s="90"/>
      <c r="Q576" s="90"/>
    </row>
    <row r="577">
      <c r="B577" s="90"/>
      <c r="Q577" s="90"/>
    </row>
    <row r="578">
      <c r="B578" s="90"/>
      <c r="Q578" s="90"/>
    </row>
    <row r="579">
      <c r="B579" s="90"/>
      <c r="Q579" s="90"/>
    </row>
    <row r="580">
      <c r="B580" s="90"/>
      <c r="Q580" s="90"/>
    </row>
    <row r="581">
      <c r="B581" s="90"/>
      <c r="Q581" s="90"/>
    </row>
    <row r="582">
      <c r="B582" s="90"/>
      <c r="Q582" s="90"/>
    </row>
    <row r="583">
      <c r="B583" s="90"/>
      <c r="Q583" s="90"/>
    </row>
    <row r="584">
      <c r="B584" s="90"/>
      <c r="Q584" s="90"/>
    </row>
    <row r="585">
      <c r="B585" s="90"/>
      <c r="Q585" s="90"/>
    </row>
    <row r="586">
      <c r="B586" s="90"/>
      <c r="Q586" s="90"/>
    </row>
    <row r="587">
      <c r="B587" s="90"/>
      <c r="Q587" s="90"/>
    </row>
    <row r="588">
      <c r="B588" s="90"/>
      <c r="Q588" s="90"/>
    </row>
    <row r="589">
      <c r="B589" s="90"/>
      <c r="Q589" s="90"/>
    </row>
    <row r="590">
      <c r="B590" s="90"/>
      <c r="Q590" s="90"/>
    </row>
    <row r="591">
      <c r="B591" s="90"/>
      <c r="Q591" s="90"/>
    </row>
    <row r="592">
      <c r="B592" s="90"/>
      <c r="Q592" s="90"/>
    </row>
    <row r="593">
      <c r="B593" s="90"/>
      <c r="Q593" s="90"/>
    </row>
    <row r="594">
      <c r="B594" s="90"/>
      <c r="Q594" s="90"/>
    </row>
    <row r="595">
      <c r="B595" s="90"/>
      <c r="Q595" s="90"/>
    </row>
    <row r="596">
      <c r="B596" s="90"/>
      <c r="Q596" s="90"/>
    </row>
    <row r="597">
      <c r="B597" s="90"/>
      <c r="Q597" s="90"/>
    </row>
    <row r="598">
      <c r="B598" s="90"/>
      <c r="Q598" s="90"/>
    </row>
    <row r="599">
      <c r="B599" s="90"/>
      <c r="Q599" s="90"/>
    </row>
    <row r="600">
      <c r="B600" s="90"/>
      <c r="Q600" s="90"/>
    </row>
    <row r="601">
      <c r="B601" s="90"/>
      <c r="Q601" s="90"/>
    </row>
    <row r="602">
      <c r="B602" s="90"/>
      <c r="Q602" s="90"/>
    </row>
    <row r="603">
      <c r="B603" s="90"/>
      <c r="Q603" s="90"/>
    </row>
    <row r="604">
      <c r="B604" s="90"/>
      <c r="Q604" s="90"/>
    </row>
    <row r="605">
      <c r="B605" s="90"/>
      <c r="Q605" s="90"/>
    </row>
    <row r="606">
      <c r="B606" s="90"/>
      <c r="Q606" s="90"/>
    </row>
    <row r="607">
      <c r="B607" s="90"/>
      <c r="Q607" s="90"/>
    </row>
    <row r="608">
      <c r="B608" s="90"/>
      <c r="Q608" s="90"/>
    </row>
    <row r="609">
      <c r="B609" s="90"/>
      <c r="Q609" s="90"/>
    </row>
    <row r="610">
      <c r="B610" s="90"/>
      <c r="Q610" s="90"/>
    </row>
    <row r="611">
      <c r="B611" s="90"/>
      <c r="Q611" s="90"/>
    </row>
    <row r="612">
      <c r="B612" s="90"/>
      <c r="Q612" s="90"/>
    </row>
    <row r="613">
      <c r="B613" s="90"/>
      <c r="Q613" s="90"/>
    </row>
    <row r="614">
      <c r="B614" s="90"/>
      <c r="Q614" s="90"/>
    </row>
    <row r="615">
      <c r="B615" s="90"/>
      <c r="Q615" s="90"/>
    </row>
    <row r="616">
      <c r="B616" s="90"/>
      <c r="Q616" s="90"/>
    </row>
    <row r="617">
      <c r="B617" s="90"/>
      <c r="Q617" s="90"/>
    </row>
    <row r="618">
      <c r="B618" s="90"/>
      <c r="Q618" s="90"/>
    </row>
    <row r="619">
      <c r="B619" s="90"/>
      <c r="Q619" s="90"/>
    </row>
    <row r="620">
      <c r="B620" s="90"/>
      <c r="Q620" s="90"/>
    </row>
    <row r="621">
      <c r="B621" s="90"/>
      <c r="Q621" s="90"/>
    </row>
    <row r="622">
      <c r="B622" s="90"/>
      <c r="Q622" s="90"/>
    </row>
    <row r="623">
      <c r="B623" s="90"/>
      <c r="Q623" s="90"/>
    </row>
    <row r="624">
      <c r="B624" s="90"/>
      <c r="Q624" s="90"/>
    </row>
    <row r="625">
      <c r="B625" s="90"/>
      <c r="Q625" s="90"/>
    </row>
    <row r="626">
      <c r="B626" s="90"/>
      <c r="Q626" s="90"/>
    </row>
    <row r="627">
      <c r="B627" s="90"/>
      <c r="Q627" s="90"/>
    </row>
    <row r="628">
      <c r="B628" s="90"/>
      <c r="Q628" s="90"/>
    </row>
    <row r="629">
      <c r="B629" s="90"/>
      <c r="Q629" s="90"/>
    </row>
    <row r="630">
      <c r="B630" s="90"/>
      <c r="Q630" s="90"/>
    </row>
    <row r="631">
      <c r="B631" s="90"/>
      <c r="Q631" s="90"/>
    </row>
    <row r="632">
      <c r="B632" s="90"/>
      <c r="Q632" s="90"/>
    </row>
    <row r="633">
      <c r="B633" s="90"/>
      <c r="Q633" s="90"/>
    </row>
    <row r="634">
      <c r="B634" s="90"/>
      <c r="Q634" s="90"/>
    </row>
    <row r="635">
      <c r="B635" s="90"/>
      <c r="Q635" s="90"/>
    </row>
    <row r="636">
      <c r="B636" s="90"/>
      <c r="Q636" s="90"/>
    </row>
    <row r="637">
      <c r="B637" s="90"/>
      <c r="Q637" s="90"/>
    </row>
    <row r="638">
      <c r="B638" s="90"/>
      <c r="Q638" s="90"/>
    </row>
    <row r="639">
      <c r="B639" s="90"/>
      <c r="Q639" s="90"/>
    </row>
    <row r="640">
      <c r="B640" s="90"/>
      <c r="Q640" s="90"/>
    </row>
    <row r="641">
      <c r="B641" s="90"/>
      <c r="Q641" s="90"/>
    </row>
    <row r="642">
      <c r="B642" s="90"/>
      <c r="Q642" s="90"/>
    </row>
    <row r="643">
      <c r="B643" s="90"/>
      <c r="Q643" s="90"/>
    </row>
    <row r="644">
      <c r="B644" s="90"/>
      <c r="Q644" s="90"/>
    </row>
    <row r="645">
      <c r="B645" s="90"/>
      <c r="Q645" s="90"/>
    </row>
    <row r="646">
      <c r="B646" s="90"/>
      <c r="Q646" s="90"/>
    </row>
    <row r="647">
      <c r="B647" s="90"/>
      <c r="Q647" s="90"/>
    </row>
    <row r="648">
      <c r="B648" s="90"/>
      <c r="Q648" s="90"/>
    </row>
    <row r="649">
      <c r="B649" s="90"/>
      <c r="Q649" s="90"/>
    </row>
    <row r="650">
      <c r="B650" s="90"/>
      <c r="Q650" s="90"/>
    </row>
    <row r="651">
      <c r="B651" s="90"/>
      <c r="Q651" s="90"/>
    </row>
    <row r="652">
      <c r="B652" s="90"/>
      <c r="Q652" s="90"/>
    </row>
    <row r="653">
      <c r="B653" s="90"/>
      <c r="Q653" s="90"/>
    </row>
    <row r="654">
      <c r="B654" s="90"/>
      <c r="Q654" s="90"/>
    </row>
    <row r="655">
      <c r="B655" s="90"/>
      <c r="Q655" s="90"/>
    </row>
    <row r="656">
      <c r="B656" s="90"/>
      <c r="Q656" s="90"/>
    </row>
    <row r="657">
      <c r="B657" s="90"/>
      <c r="Q657" s="90"/>
    </row>
    <row r="658">
      <c r="B658" s="90"/>
      <c r="Q658" s="90"/>
    </row>
    <row r="659">
      <c r="B659" s="90"/>
      <c r="Q659" s="90"/>
    </row>
    <row r="660">
      <c r="B660" s="90"/>
      <c r="Q660" s="90"/>
    </row>
    <row r="661">
      <c r="B661" s="90"/>
      <c r="Q661" s="90"/>
    </row>
    <row r="662">
      <c r="B662" s="90"/>
      <c r="Q662" s="90"/>
    </row>
    <row r="663">
      <c r="B663" s="90"/>
      <c r="Q663" s="90"/>
    </row>
    <row r="664">
      <c r="B664" s="90"/>
      <c r="Q664" s="90"/>
    </row>
    <row r="665">
      <c r="B665" s="90"/>
      <c r="Q665" s="90"/>
    </row>
    <row r="666">
      <c r="B666" s="90"/>
      <c r="Q666" s="90"/>
    </row>
    <row r="667">
      <c r="B667" s="90"/>
      <c r="Q667" s="90"/>
    </row>
    <row r="668">
      <c r="B668" s="90"/>
      <c r="Q668" s="90"/>
    </row>
    <row r="669">
      <c r="B669" s="90"/>
      <c r="Q669" s="90"/>
    </row>
    <row r="670">
      <c r="B670" s="90"/>
      <c r="Q670" s="90"/>
    </row>
    <row r="671">
      <c r="B671" s="90"/>
      <c r="Q671" s="90"/>
    </row>
    <row r="672">
      <c r="B672" s="90"/>
      <c r="Q672" s="90"/>
    </row>
    <row r="673">
      <c r="B673" s="90"/>
      <c r="Q673" s="90"/>
    </row>
    <row r="674">
      <c r="B674" s="90"/>
      <c r="Q674" s="90"/>
    </row>
    <row r="675">
      <c r="B675" s="90"/>
      <c r="Q675" s="90"/>
    </row>
    <row r="676">
      <c r="B676" s="90"/>
      <c r="Q676" s="90"/>
    </row>
    <row r="677">
      <c r="B677" s="90"/>
      <c r="Q677" s="90"/>
    </row>
    <row r="678">
      <c r="B678" s="90"/>
      <c r="Q678" s="90"/>
    </row>
    <row r="679">
      <c r="B679" s="90"/>
      <c r="Q679" s="90"/>
    </row>
    <row r="680">
      <c r="B680" s="90"/>
      <c r="Q680" s="90"/>
    </row>
    <row r="681">
      <c r="B681" s="90"/>
      <c r="Q681" s="90"/>
    </row>
    <row r="682">
      <c r="B682" s="90"/>
      <c r="Q682" s="90"/>
    </row>
    <row r="683">
      <c r="B683" s="90"/>
      <c r="Q683" s="90"/>
    </row>
    <row r="684">
      <c r="B684" s="90"/>
      <c r="Q684" s="90"/>
    </row>
    <row r="685">
      <c r="B685" s="90"/>
      <c r="Q685" s="90"/>
    </row>
    <row r="686">
      <c r="B686" s="90"/>
      <c r="Q686" s="90"/>
    </row>
    <row r="687">
      <c r="B687" s="90"/>
      <c r="Q687" s="90"/>
    </row>
    <row r="688">
      <c r="B688" s="90"/>
      <c r="Q688" s="90"/>
    </row>
    <row r="689">
      <c r="B689" s="90"/>
      <c r="Q689" s="90"/>
    </row>
    <row r="690">
      <c r="B690" s="90"/>
      <c r="Q690" s="90"/>
    </row>
    <row r="691">
      <c r="B691" s="90"/>
      <c r="Q691" s="90"/>
    </row>
    <row r="692">
      <c r="B692" s="90"/>
      <c r="Q692" s="90"/>
    </row>
    <row r="693">
      <c r="B693" s="90"/>
      <c r="Q693" s="90"/>
    </row>
    <row r="694">
      <c r="B694" s="90"/>
      <c r="Q694" s="90"/>
    </row>
    <row r="695">
      <c r="B695" s="90"/>
      <c r="Q695" s="90"/>
    </row>
    <row r="696">
      <c r="B696" s="90"/>
      <c r="Q696" s="90"/>
    </row>
    <row r="697">
      <c r="B697" s="90"/>
      <c r="Q697" s="90"/>
    </row>
    <row r="698">
      <c r="B698" s="90"/>
      <c r="Q698" s="90"/>
    </row>
    <row r="699">
      <c r="B699" s="90"/>
      <c r="Q699" s="90"/>
    </row>
    <row r="700">
      <c r="B700" s="90"/>
      <c r="Q700" s="90"/>
    </row>
    <row r="701">
      <c r="B701" s="90"/>
      <c r="Q701" s="90"/>
    </row>
    <row r="702">
      <c r="B702" s="90"/>
      <c r="Q702" s="90"/>
    </row>
    <row r="703">
      <c r="B703" s="90"/>
      <c r="Q703" s="90"/>
    </row>
    <row r="704">
      <c r="B704" s="90"/>
      <c r="Q704" s="90"/>
    </row>
    <row r="705">
      <c r="B705" s="90"/>
      <c r="Q705" s="90"/>
    </row>
    <row r="706">
      <c r="B706" s="90"/>
      <c r="Q706" s="90"/>
    </row>
    <row r="707">
      <c r="B707" s="90"/>
      <c r="Q707" s="90"/>
    </row>
    <row r="708">
      <c r="B708" s="90"/>
      <c r="Q708" s="90"/>
    </row>
    <row r="709">
      <c r="B709" s="90"/>
      <c r="Q709" s="90"/>
    </row>
    <row r="710">
      <c r="B710" s="90"/>
      <c r="Q710" s="90"/>
    </row>
    <row r="711">
      <c r="B711" s="90"/>
      <c r="Q711" s="90"/>
    </row>
    <row r="712">
      <c r="B712" s="90"/>
      <c r="Q712" s="90"/>
    </row>
    <row r="713">
      <c r="B713" s="90"/>
      <c r="Q713" s="90"/>
    </row>
    <row r="714">
      <c r="B714" s="90"/>
      <c r="Q714" s="90"/>
    </row>
    <row r="715">
      <c r="B715" s="90"/>
      <c r="Q715" s="90"/>
    </row>
    <row r="716">
      <c r="B716" s="90"/>
      <c r="Q716" s="90"/>
    </row>
    <row r="717">
      <c r="B717" s="90"/>
      <c r="Q717" s="90"/>
    </row>
    <row r="718">
      <c r="B718" s="90"/>
      <c r="Q718" s="90"/>
    </row>
    <row r="719">
      <c r="B719" s="90"/>
      <c r="Q719" s="90"/>
    </row>
    <row r="720">
      <c r="B720" s="90"/>
      <c r="Q720" s="90"/>
    </row>
    <row r="721">
      <c r="B721" s="90"/>
      <c r="Q721" s="90"/>
    </row>
    <row r="722">
      <c r="B722" s="90"/>
      <c r="Q722" s="90"/>
    </row>
    <row r="723">
      <c r="B723" s="90"/>
      <c r="Q723" s="90"/>
    </row>
    <row r="724">
      <c r="B724" s="90"/>
      <c r="Q724" s="90"/>
    </row>
    <row r="725">
      <c r="B725" s="90"/>
      <c r="Q725" s="90"/>
    </row>
    <row r="726">
      <c r="B726" s="90"/>
      <c r="Q726" s="90"/>
    </row>
    <row r="727">
      <c r="B727" s="90"/>
      <c r="Q727" s="90"/>
    </row>
    <row r="728">
      <c r="B728" s="90"/>
      <c r="Q728" s="90"/>
    </row>
    <row r="729">
      <c r="B729" s="90"/>
      <c r="Q729" s="90"/>
    </row>
    <row r="730">
      <c r="B730" s="90"/>
      <c r="Q730" s="90"/>
    </row>
    <row r="731">
      <c r="B731" s="90"/>
      <c r="Q731" s="90"/>
    </row>
    <row r="732">
      <c r="B732" s="90"/>
      <c r="Q732" s="90"/>
    </row>
    <row r="733">
      <c r="B733" s="90"/>
      <c r="Q733" s="90"/>
    </row>
    <row r="734">
      <c r="B734" s="90"/>
      <c r="Q734" s="90"/>
    </row>
    <row r="735">
      <c r="B735" s="90"/>
      <c r="Q735" s="90"/>
    </row>
    <row r="736">
      <c r="B736" s="90"/>
      <c r="Q736" s="90"/>
    </row>
    <row r="737">
      <c r="B737" s="90"/>
      <c r="Q737" s="90"/>
    </row>
    <row r="738">
      <c r="B738" s="90"/>
      <c r="Q738" s="90"/>
    </row>
    <row r="739">
      <c r="B739" s="90"/>
      <c r="Q739" s="90"/>
    </row>
    <row r="740">
      <c r="B740" s="90"/>
      <c r="Q740" s="90"/>
    </row>
    <row r="741">
      <c r="B741" s="90"/>
      <c r="Q741" s="90"/>
    </row>
    <row r="742">
      <c r="B742" s="90"/>
      <c r="Q742" s="90"/>
    </row>
    <row r="743">
      <c r="B743" s="90"/>
      <c r="Q743" s="90"/>
    </row>
    <row r="744">
      <c r="B744" s="90"/>
      <c r="Q744" s="90"/>
    </row>
    <row r="745">
      <c r="B745" s="90"/>
      <c r="Q745" s="90"/>
    </row>
    <row r="746">
      <c r="B746" s="90"/>
      <c r="Q746" s="90"/>
    </row>
    <row r="747">
      <c r="B747" s="90"/>
      <c r="Q747" s="90"/>
    </row>
    <row r="748">
      <c r="B748" s="90"/>
      <c r="Q748" s="90"/>
    </row>
    <row r="749">
      <c r="B749" s="90"/>
      <c r="Q749" s="90"/>
    </row>
    <row r="750">
      <c r="B750" s="90"/>
      <c r="Q750" s="90"/>
    </row>
    <row r="751">
      <c r="B751" s="90"/>
      <c r="Q751" s="90"/>
    </row>
    <row r="752">
      <c r="B752" s="90"/>
      <c r="Q752" s="90"/>
    </row>
    <row r="753">
      <c r="B753" s="90"/>
      <c r="Q753" s="90"/>
    </row>
    <row r="754">
      <c r="B754" s="90"/>
      <c r="Q754" s="90"/>
    </row>
    <row r="755">
      <c r="B755" s="90"/>
      <c r="Q755" s="90"/>
    </row>
    <row r="756">
      <c r="B756" s="90"/>
      <c r="Q756" s="90"/>
    </row>
    <row r="757">
      <c r="B757" s="90"/>
      <c r="Q757" s="90"/>
    </row>
    <row r="758">
      <c r="B758" s="90"/>
      <c r="Q758" s="90"/>
    </row>
    <row r="759">
      <c r="B759" s="90"/>
      <c r="Q759" s="90"/>
    </row>
    <row r="760">
      <c r="B760" s="90"/>
      <c r="Q760" s="90"/>
    </row>
    <row r="761">
      <c r="B761" s="90"/>
      <c r="Q761" s="90"/>
    </row>
    <row r="762">
      <c r="B762" s="90"/>
      <c r="Q762" s="90"/>
    </row>
    <row r="763">
      <c r="B763" s="90"/>
      <c r="Q763" s="90"/>
    </row>
    <row r="764">
      <c r="B764" s="90"/>
      <c r="Q764" s="90"/>
    </row>
    <row r="765">
      <c r="B765" s="90"/>
      <c r="Q765" s="90"/>
    </row>
    <row r="766">
      <c r="B766" s="90"/>
      <c r="Q766" s="90"/>
    </row>
    <row r="767">
      <c r="B767" s="90"/>
      <c r="Q767" s="90"/>
    </row>
    <row r="768">
      <c r="B768" s="90"/>
      <c r="Q768" s="90"/>
    </row>
    <row r="769">
      <c r="B769" s="90"/>
      <c r="Q769" s="90"/>
    </row>
    <row r="770">
      <c r="B770" s="90"/>
      <c r="Q770" s="90"/>
    </row>
    <row r="771">
      <c r="B771" s="90"/>
      <c r="Q771" s="90"/>
    </row>
    <row r="772">
      <c r="B772" s="90"/>
      <c r="Q772" s="90"/>
    </row>
    <row r="773">
      <c r="B773" s="90"/>
      <c r="Q773" s="90"/>
    </row>
    <row r="774">
      <c r="B774" s="90"/>
      <c r="Q774" s="90"/>
    </row>
    <row r="775">
      <c r="B775" s="90"/>
      <c r="Q775" s="90"/>
    </row>
    <row r="776">
      <c r="B776" s="90"/>
      <c r="Q776" s="90"/>
    </row>
    <row r="777">
      <c r="B777" s="90"/>
      <c r="Q777" s="90"/>
    </row>
    <row r="778">
      <c r="B778" s="90"/>
      <c r="Q778" s="90"/>
    </row>
    <row r="779">
      <c r="B779" s="90"/>
      <c r="Q779" s="90"/>
    </row>
    <row r="780">
      <c r="B780" s="90"/>
      <c r="Q780" s="90"/>
    </row>
    <row r="781">
      <c r="B781" s="90"/>
      <c r="Q781" s="90"/>
    </row>
    <row r="782">
      <c r="B782" s="90"/>
      <c r="Q782" s="90"/>
    </row>
    <row r="783">
      <c r="B783" s="90"/>
      <c r="Q783" s="90"/>
    </row>
    <row r="784">
      <c r="B784" s="90"/>
      <c r="Q784" s="90"/>
    </row>
    <row r="785">
      <c r="B785" s="90"/>
      <c r="Q785" s="90"/>
    </row>
    <row r="786">
      <c r="B786" s="90"/>
      <c r="Q786" s="90"/>
    </row>
    <row r="787">
      <c r="B787" s="90"/>
      <c r="Q787" s="90"/>
    </row>
    <row r="788">
      <c r="B788" s="90"/>
      <c r="Q788" s="90"/>
    </row>
    <row r="789">
      <c r="B789" s="90"/>
      <c r="Q789" s="90"/>
    </row>
    <row r="790">
      <c r="B790" s="90"/>
      <c r="Q790" s="90"/>
    </row>
    <row r="791">
      <c r="B791" s="90"/>
      <c r="Q791" s="90"/>
    </row>
    <row r="792">
      <c r="B792" s="90"/>
      <c r="Q792" s="90"/>
    </row>
    <row r="793">
      <c r="B793" s="90"/>
      <c r="Q793" s="90"/>
    </row>
    <row r="794">
      <c r="B794" s="90"/>
      <c r="Q794" s="90"/>
    </row>
    <row r="795">
      <c r="B795" s="90"/>
      <c r="Q795" s="90"/>
    </row>
    <row r="796">
      <c r="B796" s="90"/>
      <c r="Q796" s="90"/>
    </row>
    <row r="797">
      <c r="B797" s="90"/>
      <c r="Q797" s="90"/>
    </row>
    <row r="798">
      <c r="B798" s="90"/>
      <c r="Q798" s="90"/>
    </row>
    <row r="799">
      <c r="B799" s="90"/>
      <c r="Q799" s="90"/>
    </row>
    <row r="800">
      <c r="B800" s="90"/>
      <c r="Q800" s="90"/>
    </row>
    <row r="801">
      <c r="B801" s="90"/>
      <c r="Q801" s="90"/>
    </row>
    <row r="802">
      <c r="B802" s="90"/>
      <c r="Q802" s="90"/>
    </row>
    <row r="803">
      <c r="B803" s="90"/>
      <c r="Q803" s="90"/>
    </row>
    <row r="804">
      <c r="B804" s="90"/>
      <c r="Q804" s="90"/>
    </row>
    <row r="805">
      <c r="B805" s="90"/>
      <c r="Q805" s="90"/>
    </row>
    <row r="806">
      <c r="B806" s="90"/>
      <c r="Q806" s="90"/>
    </row>
    <row r="807">
      <c r="B807" s="90"/>
      <c r="Q807" s="90"/>
    </row>
    <row r="808">
      <c r="B808" s="90"/>
      <c r="Q808" s="90"/>
    </row>
    <row r="809">
      <c r="B809" s="90"/>
      <c r="Q809" s="90"/>
    </row>
    <row r="810">
      <c r="B810" s="90"/>
      <c r="Q810" s="90"/>
    </row>
    <row r="811">
      <c r="B811" s="90"/>
      <c r="Q811" s="90"/>
    </row>
    <row r="812">
      <c r="B812" s="90"/>
      <c r="Q812" s="90"/>
    </row>
    <row r="813">
      <c r="B813" s="90"/>
      <c r="Q813" s="90"/>
    </row>
    <row r="814">
      <c r="B814" s="90"/>
      <c r="Q814" s="90"/>
    </row>
    <row r="815">
      <c r="B815" s="90"/>
      <c r="Q815" s="90"/>
    </row>
    <row r="816">
      <c r="B816" s="90"/>
      <c r="Q816" s="90"/>
    </row>
    <row r="817">
      <c r="B817" s="90"/>
      <c r="Q817" s="90"/>
    </row>
    <row r="818">
      <c r="B818" s="90"/>
      <c r="Q818" s="90"/>
    </row>
    <row r="819">
      <c r="B819" s="90"/>
      <c r="Q819" s="90"/>
    </row>
    <row r="820">
      <c r="B820" s="90"/>
      <c r="Q820" s="90"/>
    </row>
    <row r="821">
      <c r="B821" s="90"/>
      <c r="Q821" s="90"/>
    </row>
    <row r="822">
      <c r="B822" s="90"/>
      <c r="Q822" s="90"/>
    </row>
    <row r="823">
      <c r="B823" s="90"/>
      <c r="Q823" s="90"/>
    </row>
    <row r="824">
      <c r="B824" s="90"/>
      <c r="Q824" s="90"/>
    </row>
    <row r="825">
      <c r="B825" s="90"/>
      <c r="Q825" s="90"/>
    </row>
    <row r="826">
      <c r="B826" s="90"/>
      <c r="Q826" s="90"/>
    </row>
    <row r="827">
      <c r="B827" s="90"/>
      <c r="Q827" s="90"/>
    </row>
    <row r="828">
      <c r="B828" s="90"/>
      <c r="Q828" s="90"/>
    </row>
    <row r="829">
      <c r="B829" s="90"/>
      <c r="Q829" s="90"/>
    </row>
    <row r="830">
      <c r="B830" s="90"/>
      <c r="Q830" s="90"/>
    </row>
    <row r="831">
      <c r="B831" s="90"/>
      <c r="Q831" s="90"/>
    </row>
    <row r="832">
      <c r="B832" s="90"/>
      <c r="Q832" s="90"/>
    </row>
    <row r="833">
      <c r="B833" s="90"/>
      <c r="Q833" s="90"/>
    </row>
    <row r="834">
      <c r="B834" s="90"/>
      <c r="Q834" s="90"/>
    </row>
    <row r="835">
      <c r="B835" s="90"/>
      <c r="Q835" s="90"/>
    </row>
    <row r="836">
      <c r="B836" s="90"/>
      <c r="Q836" s="90"/>
    </row>
    <row r="837">
      <c r="B837" s="90"/>
      <c r="Q837" s="90"/>
    </row>
    <row r="838">
      <c r="B838" s="90"/>
      <c r="Q838" s="90"/>
    </row>
    <row r="839">
      <c r="B839" s="90"/>
      <c r="Q839" s="90"/>
    </row>
    <row r="840">
      <c r="B840" s="90"/>
      <c r="Q840" s="90"/>
    </row>
    <row r="841">
      <c r="B841" s="90"/>
      <c r="Q841" s="90"/>
    </row>
    <row r="842">
      <c r="B842" s="90"/>
      <c r="Q842" s="90"/>
    </row>
    <row r="843">
      <c r="B843" s="90"/>
      <c r="Q843" s="90"/>
    </row>
    <row r="844">
      <c r="B844" s="90"/>
      <c r="Q844" s="90"/>
    </row>
    <row r="845">
      <c r="B845" s="90"/>
      <c r="Q845" s="90"/>
    </row>
    <row r="846">
      <c r="B846" s="90"/>
      <c r="Q846" s="90"/>
    </row>
    <row r="847">
      <c r="B847" s="90"/>
      <c r="Q847" s="90"/>
    </row>
    <row r="848">
      <c r="B848" s="90"/>
      <c r="Q848" s="90"/>
    </row>
    <row r="849">
      <c r="B849" s="90"/>
      <c r="Q849" s="90"/>
    </row>
    <row r="850">
      <c r="B850" s="90"/>
      <c r="Q850" s="90"/>
    </row>
    <row r="851">
      <c r="B851" s="90"/>
      <c r="Q851" s="90"/>
    </row>
    <row r="852">
      <c r="B852" s="90"/>
      <c r="Q852" s="90"/>
    </row>
    <row r="853">
      <c r="B853" s="90"/>
      <c r="Q853" s="90"/>
    </row>
    <row r="854">
      <c r="B854" s="90"/>
      <c r="Q854" s="90"/>
    </row>
    <row r="855">
      <c r="B855" s="90"/>
      <c r="Q855" s="90"/>
    </row>
    <row r="856">
      <c r="B856" s="90"/>
      <c r="Q856" s="90"/>
    </row>
    <row r="857">
      <c r="B857" s="90"/>
      <c r="Q857" s="90"/>
    </row>
    <row r="858">
      <c r="B858" s="90"/>
      <c r="Q858" s="90"/>
    </row>
    <row r="859">
      <c r="B859" s="90"/>
      <c r="Q859" s="90"/>
    </row>
    <row r="860">
      <c r="B860" s="90"/>
      <c r="Q860" s="90"/>
    </row>
    <row r="861">
      <c r="B861" s="90"/>
      <c r="Q861" s="90"/>
    </row>
    <row r="862">
      <c r="B862" s="90"/>
      <c r="Q862" s="90"/>
    </row>
    <row r="863">
      <c r="B863" s="90"/>
      <c r="Q863" s="90"/>
    </row>
    <row r="864">
      <c r="B864" s="90"/>
      <c r="Q864" s="90"/>
    </row>
    <row r="865">
      <c r="B865" s="90"/>
      <c r="Q865" s="90"/>
    </row>
    <row r="866">
      <c r="B866" s="90"/>
      <c r="Q866" s="90"/>
    </row>
    <row r="867">
      <c r="B867" s="90"/>
      <c r="Q867" s="90"/>
    </row>
    <row r="868">
      <c r="B868" s="90"/>
      <c r="Q868" s="90"/>
    </row>
    <row r="869">
      <c r="B869" s="90"/>
      <c r="Q869" s="90"/>
    </row>
    <row r="870">
      <c r="B870" s="90"/>
      <c r="Q870" s="90"/>
    </row>
    <row r="871">
      <c r="B871" s="90"/>
      <c r="Q871" s="90"/>
    </row>
    <row r="872">
      <c r="B872" s="90"/>
      <c r="Q872" s="90"/>
    </row>
    <row r="873">
      <c r="B873" s="90"/>
      <c r="Q873" s="90"/>
    </row>
    <row r="874">
      <c r="B874" s="90"/>
      <c r="Q874" s="90"/>
    </row>
    <row r="875">
      <c r="B875" s="90"/>
      <c r="Q875" s="90"/>
    </row>
    <row r="876">
      <c r="B876" s="90"/>
      <c r="Q876" s="90"/>
    </row>
    <row r="877">
      <c r="B877" s="90"/>
      <c r="Q877" s="90"/>
    </row>
    <row r="878">
      <c r="B878" s="90"/>
      <c r="Q878" s="90"/>
    </row>
    <row r="879">
      <c r="B879" s="90"/>
      <c r="Q879" s="90"/>
    </row>
    <row r="880">
      <c r="B880" s="90"/>
      <c r="Q880" s="90"/>
    </row>
    <row r="881">
      <c r="B881" s="90"/>
      <c r="Q881" s="90"/>
    </row>
    <row r="882">
      <c r="B882" s="90"/>
      <c r="Q882" s="90"/>
    </row>
    <row r="883">
      <c r="B883" s="90"/>
      <c r="Q883" s="90"/>
    </row>
    <row r="884">
      <c r="B884" s="90"/>
      <c r="Q884" s="90"/>
    </row>
    <row r="885">
      <c r="B885" s="90"/>
      <c r="Q885" s="90"/>
    </row>
    <row r="886">
      <c r="B886" s="90"/>
      <c r="Q886" s="90"/>
    </row>
    <row r="887">
      <c r="B887" s="90"/>
      <c r="Q887" s="90"/>
    </row>
    <row r="888">
      <c r="B888" s="90"/>
      <c r="Q888" s="90"/>
    </row>
    <row r="889">
      <c r="B889" s="90"/>
      <c r="Q889" s="90"/>
    </row>
    <row r="890">
      <c r="B890" s="90"/>
      <c r="Q890" s="90"/>
    </row>
    <row r="891">
      <c r="B891" s="90"/>
      <c r="Q891" s="90"/>
    </row>
    <row r="892">
      <c r="B892" s="90"/>
      <c r="Q892" s="90"/>
    </row>
    <row r="893">
      <c r="B893" s="90"/>
      <c r="Q893" s="90"/>
    </row>
    <row r="894">
      <c r="B894" s="90"/>
      <c r="Q894" s="90"/>
    </row>
    <row r="895">
      <c r="B895" s="90"/>
      <c r="Q895" s="90"/>
    </row>
    <row r="896">
      <c r="B896" s="90"/>
      <c r="Q896" s="90"/>
    </row>
    <row r="897">
      <c r="B897" s="90"/>
      <c r="Q897" s="90"/>
    </row>
    <row r="898">
      <c r="B898" s="90"/>
      <c r="Q898" s="90"/>
    </row>
    <row r="899">
      <c r="B899" s="90"/>
      <c r="Q899" s="90"/>
    </row>
    <row r="900">
      <c r="B900" s="90"/>
      <c r="Q900" s="90"/>
    </row>
    <row r="901">
      <c r="B901" s="90"/>
      <c r="Q901" s="90"/>
    </row>
    <row r="902">
      <c r="B902" s="90"/>
      <c r="Q902" s="90"/>
    </row>
    <row r="903">
      <c r="B903" s="90"/>
      <c r="Q903" s="90"/>
    </row>
    <row r="904">
      <c r="B904" s="90"/>
      <c r="Q904" s="90"/>
    </row>
    <row r="905">
      <c r="B905" s="90"/>
      <c r="Q905" s="90"/>
    </row>
    <row r="906">
      <c r="B906" s="90"/>
      <c r="Q906" s="90"/>
    </row>
    <row r="907">
      <c r="B907" s="90"/>
      <c r="Q907" s="90"/>
    </row>
    <row r="908">
      <c r="B908" s="90"/>
      <c r="Q908" s="90"/>
    </row>
    <row r="909">
      <c r="B909" s="90"/>
      <c r="Q909" s="90"/>
    </row>
    <row r="910">
      <c r="B910" s="90"/>
      <c r="Q910" s="90"/>
    </row>
    <row r="911">
      <c r="B911" s="90"/>
      <c r="Q911" s="90"/>
    </row>
    <row r="912">
      <c r="B912" s="90"/>
      <c r="Q912" s="90"/>
    </row>
    <row r="913">
      <c r="B913" s="90"/>
      <c r="Q913" s="90"/>
    </row>
    <row r="914">
      <c r="B914" s="90"/>
      <c r="Q914" s="90"/>
    </row>
    <row r="915">
      <c r="B915" s="90"/>
      <c r="Q915" s="90"/>
    </row>
    <row r="916">
      <c r="B916" s="90"/>
      <c r="Q916" s="90"/>
    </row>
    <row r="917">
      <c r="B917" s="90"/>
      <c r="Q917" s="90"/>
    </row>
    <row r="918">
      <c r="B918" s="90"/>
      <c r="Q918" s="90"/>
    </row>
    <row r="919">
      <c r="B919" s="90"/>
      <c r="Q919" s="90"/>
    </row>
    <row r="920">
      <c r="B920" s="90"/>
      <c r="Q920" s="90"/>
    </row>
    <row r="921">
      <c r="B921" s="90"/>
      <c r="Q921" s="90"/>
    </row>
    <row r="922">
      <c r="B922" s="90"/>
      <c r="Q922" s="90"/>
    </row>
    <row r="923">
      <c r="B923" s="90"/>
      <c r="Q923" s="90"/>
    </row>
    <row r="924">
      <c r="B924" s="90"/>
      <c r="Q924" s="90"/>
    </row>
    <row r="925">
      <c r="B925" s="90"/>
      <c r="Q925" s="90"/>
    </row>
    <row r="926">
      <c r="B926" s="90"/>
      <c r="Q926" s="90"/>
    </row>
    <row r="927">
      <c r="B927" s="90"/>
      <c r="Q927" s="90"/>
    </row>
    <row r="928">
      <c r="B928" s="90"/>
      <c r="Q928" s="90"/>
    </row>
    <row r="929">
      <c r="B929" s="90"/>
      <c r="Q929" s="90"/>
    </row>
    <row r="930">
      <c r="B930" s="90"/>
      <c r="Q930" s="90"/>
    </row>
    <row r="931">
      <c r="B931" s="90"/>
      <c r="Q931" s="90"/>
    </row>
    <row r="932">
      <c r="B932" s="90"/>
      <c r="Q932" s="90"/>
    </row>
    <row r="933">
      <c r="B933" s="90"/>
      <c r="Q933" s="90"/>
    </row>
    <row r="934">
      <c r="B934" s="90"/>
      <c r="Q934" s="90"/>
    </row>
    <row r="935">
      <c r="B935" s="90"/>
      <c r="Q935" s="90"/>
    </row>
    <row r="936">
      <c r="B936" s="90"/>
      <c r="Q936" s="90"/>
    </row>
    <row r="937">
      <c r="B937" s="90"/>
      <c r="Q937" s="90"/>
    </row>
    <row r="938">
      <c r="B938" s="90"/>
      <c r="Q938" s="90"/>
    </row>
    <row r="939">
      <c r="B939" s="90"/>
      <c r="Q939" s="90"/>
    </row>
    <row r="940">
      <c r="B940" s="90"/>
      <c r="Q940" s="90"/>
    </row>
    <row r="941">
      <c r="B941" s="90"/>
      <c r="Q941" s="90"/>
    </row>
    <row r="942">
      <c r="B942" s="90"/>
      <c r="Q942" s="90"/>
    </row>
    <row r="943">
      <c r="B943" s="90"/>
      <c r="Q943" s="90"/>
    </row>
    <row r="944">
      <c r="B944" s="90"/>
      <c r="Q944" s="90"/>
    </row>
    <row r="945">
      <c r="B945" s="90"/>
      <c r="Q945" s="90"/>
    </row>
    <row r="946">
      <c r="B946" s="90"/>
      <c r="Q946" s="90"/>
    </row>
    <row r="947">
      <c r="B947" s="90"/>
      <c r="Q947" s="90"/>
    </row>
    <row r="948">
      <c r="B948" s="90"/>
      <c r="Q948" s="90"/>
    </row>
    <row r="949">
      <c r="B949" s="90"/>
      <c r="Q949" s="90"/>
    </row>
    <row r="950">
      <c r="B950" s="90"/>
      <c r="Q950" s="90"/>
    </row>
    <row r="951">
      <c r="B951" s="90"/>
      <c r="Q951" s="90"/>
    </row>
    <row r="952">
      <c r="B952" s="90"/>
      <c r="Q952" s="90"/>
    </row>
    <row r="953">
      <c r="B953" s="90"/>
      <c r="Q953" s="90"/>
    </row>
    <row r="954">
      <c r="B954" s="90"/>
      <c r="Q954" s="90"/>
    </row>
    <row r="955">
      <c r="B955" s="90"/>
      <c r="Q955" s="90"/>
    </row>
    <row r="956">
      <c r="B956" s="90"/>
      <c r="Q956" s="90"/>
    </row>
    <row r="957">
      <c r="B957" s="90"/>
      <c r="Q957" s="90"/>
    </row>
    <row r="958">
      <c r="B958" s="90"/>
      <c r="Q958" s="90"/>
    </row>
    <row r="959">
      <c r="B959" s="90"/>
      <c r="Q959" s="90"/>
    </row>
    <row r="960">
      <c r="B960" s="90"/>
      <c r="Q960" s="90"/>
    </row>
    <row r="961">
      <c r="B961" s="90"/>
      <c r="Q961" s="90"/>
    </row>
    <row r="962">
      <c r="B962" s="90"/>
      <c r="Q962" s="90"/>
    </row>
    <row r="963">
      <c r="B963" s="90"/>
      <c r="Q963" s="90"/>
    </row>
    <row r="964">
      <c r="B964" s="90"/>
      <c r="Q964" s="90"/>
    </row>
    <row r="965">
      <c r="B965" s="90"/>
      <c r="Q965" s="90"/>
    </row>
    <row r="966">
      <c r="B966" s="90"/>
      <c r="Q966" s="90"/>
    </row>
    <row r="967">
      <c r="B967" s="90"/>
      <c r="Q967" s="90"/>
    </row>
    <row r="968">
      <c r="B968" s="90"/>
      <c r="Q968" s="90"/>
    </row>
    <row r="969">
      <c r="B969" s="90"/>
      <c r="Q969" s="90"/>
    </row>
    <row r="970">
      <c r="B970" s="90"/>
      <c r="Q970" s="90"/>
    </row>
    <row r="971">
      <c r="B971" s="90"/>
      <c r="Q971" s="90"/>
    </row>
    <row r="972">
      <c r="B972" s="90"/>
      <c r="Q972" s="90"/>
    </row>
    <row r="973">
      <c r="B973" s="90"/>
      <c r="Q973" s="90"/>
    </row>
    <row r="974">
      <c r="B974" s="90"/>
      <c r="Q974" s="90"/>
    </row>
    <row r="975">
      <c r="B975" s="90"/>
      <c r="Q975" s="90"/>
    </row>
    <row r="976">
      <c r="B976" s="90"/>
      <c r="Q976" s="90"/>
    </row>
    <row r="977">
      <c r="B977" s="90"/>
      <c r="Q977" s="90"/>
    </row>
    <row r="978">
      <c r="B978" s="90"/>
      <c r="Q978" s="90"/>
    </row>
    <row r="979">
      <c r="B979" s="90"/>
      <c r="Q979" s="90"/>
    </row>
    <row r="980">
      <c r="B980" s="90"/>
      <c r="Q980" s="90"/>
    </row>
    <row r="981">
      <c r="B981" s="90"/>
      <c r="Q981" s="90"/>
    </row>
    <row r="982">
      <c r="B982" s="90"/>
      <c r="Q982" s="90"/>
    </row>
    <row r="983">
      <c r="B983" s="90"/>
      <c r="Q983" s="90"/>
    </row>
    <row r="984">
      <c r="B984" s="90"/>
      <c r="Q984" s="90"/>
    </row>
    <row r="985">
      <c r="B985" s="90"/>
      <c r="Q985" s="90"/>
    </row>
    <row r="986">
      <c r="B986" s="90"/>
      <c r="Q986" s="90"/>
    </row>
    <row r="987">
      <c r="B987" s="90"/>
      <c r="Q987" s="90"/>
    </row>
    <row r="988">
      <c r="B988" s="90"/>
      <c r="Q988" s="90"/>
    </row>
    <row r="989">
      <c r="B989" s="90"/>
      <c r="Q989" s="90"/>
    </row>
    <row r="990">
      <c r="B990" s="90"/>
      <c r="Q990" s="90"/>
    </row>
    <row r="991">
      <c r="B991" s="90"/>
      <c r="Q991" s="90"/>
    </row>
    <row r="992">
      <c r="B992" s="90"/>
      <c r="Q992" s="90"/>
    </row>
    <row r="993">
      <c r="B993" s="90"/>
      <c r="Q993" s="90"/>
    </row>
    <row r="994">
      <c r="B994" s="90"/>
      <c r="Q994" s="90"/>
    </row>
    <row r="995">
      <c r="B995" s="90"/>
      <c r="Q995" s="90"/>
    </row>
    <row r="996">
      <c r="B996" s="90"/>
      <c r="Q996" s="90"/>
    </row>
    <row r="997">
      <c r="B997" s="90"/>
      <c r="Q997" s="90"/>
    </row>
    <row r="998">
      <c r="B998" s="90"/>
      <c r="Q998" s="90"/>
    </row>
    <row r="999">
      <c r="B999" s="90"/>
      <c r="Q999" s="90"/>
    </row>
    <row r="1000">
      <c r="B1000" s="90"/>
      <c r="Q1000" s="90"/>
    </row>
    <row r="1001">
      <c r="B1001" s="90"/>
      <c r="Q1001" s="90"/>
    </row>
    <row r="1002">
      <c r="B1002" s="90"/>
      <c r="Q1002" s="90"/>
    </row>
    <row r="1003">
      <c r="B1003" s="90"/>
      <c r="Q1003" s="90"/>
    </row>
    <row r="1004">
      <c r="B1004" s="90"/>
      <c r="Q1004" s="90"/>
    </row>
    <row r="1005">
      <c r="B1005" s="90"/>
      <c r="Q1005" s="90"/>
    </row>
    <row r="1006">
      <c r="B1006" s="90"/>
      <c r="Q1006" s="90"/>
    </row>
    <row r="1007">
      <c r="B1007" s="90"/>
      <c r="Q1007" s="90"/>
    </row>
    <row r="1008">
      <c r="B1008" s="90"/>
      <c r="Q1008" s="90"/>
    </row>
    <row r="1009">
      <c r="B1009" s="90"/>
      <c r="Q1009" s="90"/>
    </row>
    <row r="1010">
      <c r="B1010" s="90"/>
      <c r="Q1010" s="90"/>
    </row>
    <row r="1011">
      <c r="B1011" s="90"/>
      <c r="Q1011" s="90"/>
    </row>
    <row r="1012">
      <c r="B1012" s="90"/>
      <c r="Q1012" s="90"/>
    </row>
    <row r="1013">
      <c r="B1013" s="90"/>
      <c r="Q1013" s="90"/>
    </row>
    <row r="1014">
      <c r="B1014" s="90"/>
      <c r="Q1014" s="90"/>
    </row>
    <row r="1015">
      <c r="B1015" s="90"/>
      <c r="Q1015" s="90"/>
    </row>
    <row r="1016">
      <c r="B1016" s="90"/>
      <c r="Q1016" s="90"/>
    </row>
    <row r="1017">
      <c r="B1017" s="90"/>
      <c r="Q1017" s="90"/>
    </row>
    <row r="1018">
      <c r="B1018" s="90"/>
      <c r="Q1018" s="90"/>
    </row>
    <row r="1019">
      <c r="B1019" s="90"/>
      <c r="Q1019" s="90"/>
    </row>
    <row r="1020">
      <c r="B1020" s="90"/>
      <c r="Q1020" s="90"/>
    </row>
    <row r="1021">
      <c r="B1021" s="90"/>
      <c r="Q1021" s="90"/>
    </row>
    <row r="1022">
      <c r="B1022" s="90"/>
      <c r="Q1022" s="90"/>
    </row>
    <row r="1023">
      <c r="B1023" s="90"/>
      <c r="Q1023" s="90"/>
    </row>
    <row r="1024">
      <c r="B1024" s="90"/>
      <c r="Q1024" s="90"/>
    </row>
    <row r="1025">
      <c r="B1025" s="90"/>
      <c r="Q1025" s="90"/>
    </row>
    <row r="1026">
      <c r="B1026" s="90"/>
      <c r="Q1026" s="90"/>
    </row>
  </sheetData>
  <mergeCells count="3">
    <mergeCell ref="R1:S1"/>
    <mergeCell ref="T1:U1"/>
    <mergeCell ref="V1:W1"/>
  </mergeCells>
  <conditionalFormatting sqref="AF3:AF4 A4:AE4">
    <cfRule type="cellIs" dxfId="2" priority="1" operator="lessThan">
      <formula>0</formula>
    </cfRule>
  </conditionalFormatting>
  <conditionalFormatting sqref="AF3:AF4 A4:AE4">
    <cfRule type="cellIs" dxfId="3" priority="2" operator="greaterThan">
      <formula>0</formula>
    </cfRule>
  </conditionalFormatting>
  <conditionalFormatting sqref="A3:AG3">
    <cfRule type="cellIs" dxfId="2" priority="3" operator="lessThan">
      <formula>0</formula>
    </cfRule>
  </conditionalFormatting>
  <conditionalFormatting sqref="A3:AG3">
    <cfRule type="cellIs" dxfId="3" priority="4" operator="greaterThan">
      <formula>0</formula>
    </cfRule>
  </conditionalFormatting>
  <conditionalFormatting sqref="S12:S56 U13:U16 W13:W16 U20 W20 U29 W29 U31 W31 U39:U42 W39:W42">
    <cfRule type="cellIs" dxfId="4" priority="5" operator="greaterThan">
      <formula>R12:R56</formula>
    </cfRule>
  </conditionalFormatting>
  <conditionalFormatting sqref="U12:U57 W12:W57">
    <cfRule type="cellIs" dxfId="4" priority="6" operator="greaterThan">
      <formula>T12:T57</formula>
    </cfRule>
  </conditionalFormatting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>
    <row r="2">
      <c r="B2" s="237" t="s">
        <v>169</v>
      </c>
    </row>
    <row r="3">
      <c r="B3" s="2">
        <v>1.5</v>
      </c>
    </row>
    <row r="5">
      <c r="B5" s="50"/>
      <c r="C5" s="133" t="s">
        <v>170</v>
      </c>
      <c r="D5" s="133" t="s">
        <v>171</v>
      </c>
      <c r="E5" s="133" t="s">
        <v>172</v>
      </c>
      <c r="F5" s="50"/>
      <c r="G5" s="133" t="s">
        <v>173</v>
      </c>
      <c r="H5" s="50"/>
      <c r="I5" s="133" t="s">
        <v>174</v>
      </c>
      <c r="J5" s="50"/>
    </row>
    <row r="6">
      <c r="B6" s="13" t="s">
        <v>175</v>
      </c>
      <c r="C6" s="2">
        <v>45.0</v>
      </c>
      <c r="D6" s="2">
        <v>550.0</v>
      </c>
      <c r="E6" s="183">
        <f>(80*5)+(50+20)</f>
        <v>470</v>
      </c>
      <c r="G6" s="53">
        <f>(E6*50)/12</f>
        <v>1958.333333</v>
      </c>
      <c r="I6" s="53">
        <f>(G6/D6)*(C6*B3)</f>
        <v>240.3409091</v>
      </c>
    </row>
    <row r="7">
      <c r="B7" s="13" t="s">
        <v>36</v>
      </c>
      <c r="C7" s="2">
        <v>45.0</v>
      </c>
      <c r="D7" s="2">
        <v>400.0</v>
      </c>
      <c r="E7" s="183">
        <f>(50*5)+(50)</f>
        <v>300</v>
      </c>
      <c r="G7" s="53">
        <f>((E7*50)+1000)/12</f>
        <v>1333.333333</v>
      </c>
      <c r="I7" s="53">
        <f>(G7/E7)*(C7*B3)</f>
        <v>300</v>
      </c>
    </row>
  </sheetData>
  <mergeCells count="2">
    <mergeCell ref="B2:C2"/>
    <mergeCell ref="B3:C3"/>
  </mergeCells>
  <drawing r:id="rId1"/>
</worksheet>
</file>